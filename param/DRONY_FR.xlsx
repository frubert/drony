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voro\ARDUINO\Drony4_series\drony04_1\param\"/>
    </mc:Choice>
  </mc:AlternateContent>
  <xr:revisionPtr revIDLastSave="0" documentId="13_ncr:1_{4987F624-7CF8-42E5-A851-D7D19416C6FF}" xr6:coauthVersionLast="45" xr6:coauthVersionMax="45" xr10:uidLastSave="{00000000-0000-0000-0000-000000000000}"/>
  <bookViews>
    <workbookView xWindow="7425" yWindow="1065" windowWidth="30165" windowHeight="14535" tabRatio="500" xr2:uid="{00000000-000D-0000-FFFF-FFFF00000000}"/>
  </bookViews>
  <sheets>
    <sheet name="MASTER" sheetId="1" r:id="rId1"/>
    <sheet name="Foglio1" sheetId="6" r:id="rId2"/>
    <sheet name="Boolean" sheetId="2" r:id="rId3"/>
    <sheet name="StategyType" sheetId="3" r:id="rId4"/>
    <sheet name="Period" sheetId="4" r:id="rId5"/>
    <sheet name="Istruments" sheetId="5" r:id="rId6"/>
  </sheets>
  <calcPr calcId="181029" concurrentCalc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4" i="1" l="1"/>
  <c r="M58" i="1"/>
  <c r="M63" i="1"/>
  <c r="L63" i="1"/>
  <c r="K63" i="1"/>
  <c r="J63" i="1"/>
  <c r="I63" i="1"/>
  <c r="H63" i="1"/>
  <c r="G63" i="1"/>
  <c r="F63" i="1"/>
  <c r="E63" i="1"/>
  <c r="C63" i="1"/>
  <c r="M62" i="1"/>
  <c r="L62" i="1"/>
  <c r="K62" i="1"/>
  <c r="J62" i="1"/>
  <c r="I62" i="1"/>
  <c r="H62" i="1"/>
  <c r="G62" i="1"/>
  <c r="F62" i="1"/>
  <c r="E62" i="1"/>
  <c r="C62" i="1"/>
  <c r="M61" i="1"/>
  <c r="L61" i="1"/>
  <c r="K61" i="1"/>
  <c r="J61" i="1"/>
  <c r="I61" i="1"/>
  <c r="H61" i="1"/>
  <c r="G61" i="1"/>
  <c r="F61" i="1"/>
  <c r="E61" i="1"/>
  <c r="C61" i="1"/>
  <c r="M60" i="1"/>
  <c r="L60" i="1"/>
  <c r="K60" i="1"/>
  <c r="J60" i="1"/>
  <c r="I60" i="1"/>
  <c r="H60" i="1"/>
  <c r="G60" i="1"/>
  <c r="F60" i="1"/>
  <c r="E60" i="1"/>
  <c r="C60" i="1"/>
  <c r="M59" i="1"/>
  <c r="L59" i="1"/>
  <c r="K59" i="1"/>
  <c r="J59" i="1"/>
  <c r="I59" i="1"/>
  <c r="H59" i="1"/>
  <c r="G59" i="1"/>
  <c r="F59" i="1"/>
  <c r="E59" i="1"/>
  <c r="C59" i="1"/>
  <c r="L58" i="1"/>
  <c r="K58" i="1"/>
  <c r="J58" i="1"/>
  <c r="I58" i="1"/>
  <c r="H58" i="1"/>
  <c r="G58" i="1"/>
  <c r="F58" i="1"/>
  <c r="E58" i="1"/>
  <c r="C58" i="1"/>
  <c r="M57" i="1"/>
  <c r="L57" i="1"/>
  <c r="K57" i="1"/>
  <c r="J57" i="1"/>
  <c r="I57" i="1"/>
  <c r="H57" i="1"/>
  <c r="G57" i="1"/>
  <c r="F57" i="1"/>
  <c r="E57" i="1"/>
  <c r="C57" i="1"/>
  <c r="M56" i="1"/>
  <c r="L56" i="1"/>
  <c r="K56" i="1"/>
  <c r="J56" i="1"/>
  <c r="I56" i="1"/>
  <c r="H56" i="1"/>
  <c r="G56" i="1"/>
  <c r="F56" i="1"/>
  <c r="E56" i="1"/>
  <c r="C56" i="1"/>
  <c r="M55" i="1"/>
  <c r="L55" i="1"/>
  <c r="K55" i="1"/>
  <c r="J55" i="1"/>
  <c r="I55" i="1"/>
  <c r="H55" i="1"/>
  <c r="G55" i="1"/>
  <c r="F55" i="1"/>
  <c r="E55" i="1"/>
  <c r="C55" i="1"/>
  <c r="M54" i="1"/>
  <c r="L54" i="1"/>
  <c r="J54" i="1"/>
  <c r="I54" i="1"/>
  <c r="H54" i="1"/>
  <c r="G54" i="1"/>
  <c r="F54" i="1"/>
  <c r="E54" i="1"/>
  <c r="C54" i="1"/>
  <c r="M51" i="1"/>
  <c r="L51" i="1"/>
  <c r="K51" i="1"/>
  <c r="J51" i="1"/>
  <c r="I51" i="1"/>
  <c r="H51" i="1"/>
  <c r="G51" i="1"/>
  <c r="F51" i="1"/>
  <c r="E51" i="1"/>
  <c r="C51" i="1"/>
</calcChain>
</file>

<file path=xl/sharedStrings.xml><?xml version="1.0" encoding="utf-8"?>
<sst xmlns="http://schemas.openxmlformats.org/spreadsheetml/2006/main" count="277" uniqueCount="195">
  <si>
    <t xml:space="preserve">Param </t>
  </si>
  <si>
    <t>Name</t>
  </si>
  <si>
    <t>AUD USD 4H_210</t>
  </si>
  <si>
    <t>AUD USD 4H_103</t>
  </si>
  <si>
    <t>CAD JPY 4H_110</t>
  </si>
  <si>
    <t>EUR GBP 4H_210</t>
  </si>
  <si>
    <t>EUR JPY 4H_210</t>
  </si>
  <si>
    <t>EUR USD 4H_210</t>
  </si>
  <si>
    <t>USD CAD 4H_210</t>
  </si>
  <si>
    <t>USD JPY 4H_210</t>
  </si>
  <si>
    <t>selectedInstrument:</t>
  </si>
  <si>
    <t>EURUSD, …</t>
  </si>
  <si>
    <t>AUDUSD</t>
  </si>
  <si>
    <t>CADJPY</t>
  </si>
  <si>
    <t>EURGBP</t>
  </si>
  <si>
    <t>EURJPY</t>
  </si>
  <si>
    <t>EURUSD</t>
  </si>
  <si>
    <t>GBPJPY</t>
  </si>
  <si>
    <t>GBPUSD</t>
  </si>
  <si>
    <t>USDCAD</t>
  </si>
  <si>
    <t>USDJPY</t>
  </si>
  <si>
    <t>selectedPeriod:</t>
  </si>
  <si>
    <t>FOUR_HOURS</t>
  </si>
  <si>
    <t>OrderSize:</t>
  </si>
  <si>
    <t>N Bars:</t>
  </si>
  <si>
    <t>Body % Min:</t>
  </si>
  <si>
    <t>Body % Max:</t>
  </si>
  <si>
    <t>%</t>
  </si>
  <si>
    <t>Mod Min :</t>
  </si>
  <si>
    <t>Mod Max :</t>
  </si>
  <si>
    <t>Body abs Min:</t>
  </si>
  <si>
    <t>Body abs Max :</t>
  </si>
  <si>
    <t>Indent:</t>
  </si>
  <si>
    <t>indentPercetPennachio:</t>
  </si>
  <si>
    <t>Cap Abs:</t>
  </si>
  <si>
    <t>Cap %:</t>
  </si>
  <si>
    <t>Cap attn:</t>
  </si>
  <si>
    <t>Floor abs:</t>
  </si>
  <si>
    <t>Floor %:</t>
  </si>
  <si>
    <t>Floor attn:</t>
  </si>
  <si>
    <t>Slope Min:</t>
  </si>
  <si>
    <t>Slope Max:</t>
  </si>
  <si>
    <t>Slippage:</t>
  </si>
  <si>
    <t>startTradingTime:</t>
  </si>
  <si>
    <t>endTradingTime:</t>
  </si>
  <si>
    <t>numCandlesValid;</t>
  </si>
  <si>
    <t>strategyType</t>
  </si>
  <si>
    <t>FULL, LONG, SHORT</t>
  </si>
  <si>
    <t>FULL</t>
  </si>
  <si>
    <t>numBodyShadowBars:</t>
  </si>
  <si>
    <t>N storia Barre</t>
  </si>
  <si>
    <t>Barre preced %</t>
  </si>
  <si>
    <t>minBodyShadow</t>
  </si>
  <si>
    <t>Barre preced ABS</t>
  </si>
  <si>
    <t xml:space="preserve">  Barre success. %</t>
  </si>
  <si>
    <t>minFutureBodyShadow</t>
  </si>
  <si>
    <t xml:space="preserve">  Barre success ABS</t>
  </si>
  <si>
    <t>macroPL</t>
  </si>
  <si>
    <t>true, false</t>
  </si>
  <si>
    <t>FALSE</t>
  </si>
  <si>
    <t>macroPLProfit</t>
  </si>
  <si>
    <t>macroPLLoss</t>
  </si>
  <si>
    <t>numColorStoryBars</t>
  </si>
  <si>
    <t>colorStorySameBars</t>
  </si>
  <si>
    <t>TRUE</t>
  </si>
  <si>
    <t>Num max barre per ordine</t>
  </si>
  <si>
    <t>preventMultipleOrders</t>
  </si>
  <si>
    <t>waitNBarPinza</t>
  </si>
  <si>
    <t xml:space="preserve"> pinza in attesa</t>
  </si>
  <si>
    <t>order cluster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</si>
  <si>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</si>
  <si>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</si>
  <si>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</si>
  <si>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</si>
  <si>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</si>
  <si>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</si>
  <si>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</si>
  <si>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</si>
  <si>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</si>
  <si>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</si>
  <si>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order cluster priority</t>
  </si>
  <si>
    <t>FreeWeekEnd</t>
  </si>
  <si>
    <t xml:space="preserve"> N. mesi</t>
  </si>
  <si>
    <t>38*</t>
  </si>
  <si>
    <t>38+</t>
  </si>
  <si>
    <t xml:space="preserve"> N. trades</t>
  </si>
  <si>
    <t xml:space="preserve"> PROFIT # margin 1000€</t>
  </si>
  <si>
    <t xml:space="preserve"> Standard Size S=1</t>
  </si>
  <si>
    <t xml:space="preserve"> AVG profit/trade</t>
  </si>
  <si>
    <t xml:space="preserve"> Note</t>
  </si>
  <si>
    <t xml:space="preserve">  order size</t>
  </si>
  <si>
    <t>Equity = 1.000€</t>
  </si>
  <si>
    <t>Equity = 10.000€</t>
  </si>
  <si>
    <t>true</t>
  </si>
  <si>
    <t>false</t>
  </si>
  <si>
    <t>LONG</t>
  </si>
  <si>
    <t>SHORT</t>
  </si>
  <si>
    <t xml:space="preserve"> TICK</t>
  </si>
  <si>
    <t xml:space="preserve"> ONE_SEC</t>
  </si>
  <si>
    <t xml:space="preserve"> TWO_SECS</t>
  </si>
  <si>
    <t xml:space="preserve"> TEN_SECS</t>
  </si>
  <si>
    <t xml:space="preserve"> TWENTY_SECS</t>
  </si>
  <si>
    <t xml:space="preserve"> THIRTY_SECS</t>
  </si>
  <si>
    <t xml:space="preserve"> ONE_MIN</t>
  </si>
  <si>
    <t xml:space="preserve"> FIVE_MINS</t>
  </si>
  <si>
    <t xml:space="preserve"> TEN_MINS</t>
  </si>
  <si>
    <t xml:space="preserve"> FIFTEEN_MINS</t>
  </si>
  <si>
    <t xml:space="preserve"> TWENTY_MINS</t>
  </si>
  <si>
    <t xml:space="preserve"> THIRTY_MINS</t>
  </si>
  <si>
    <t xml:space="preserve"> ONE_HOUR</t>
  </si>
  <si>
    <t xml:space="preserve"> FOUR_HOURS</t>
  </si>
  <si>
    <t xml:space="preserve"> DAILY</t>
  </si>
  <si>
    <t xml:space="preserve"> DAILY_SUNDAY_IN_MONDAY</t>
  </si>
  <si>
    <t xml:space="preserve"> DAILY_SKIP_SUNDAY</t>
  </si>
  <si>
    <t xml:space="preserve"> WEEKLY</t>
  </si>
  <si>
    <t xml:space="preserve"> MONTHLY</t>
  </si>
  <si>
    <t xml:space="preserve"> ONE_YEAR</t>
  </si>
  <si>
    <t xml:space="preserve"> INFINITY</t>
  </si>
  <si>
    <t>AUDJPY</t>
  </si>
  <si>
    <t xml:space="preserve">AUDCAD </t>
  </si>
  <si>
    <t>AUDCHF</t>
  </si>
  <si>
    <t>AUDNZD</t>
  </si>
  <si>
    <t>AUDSGD</t>
  </si>
  <si>
    <t>CADCHF</t>
  </si>
  <si>
    <t>CADHKD</t>
  </si>
  <si>
    <t>CHFJPY</t>
  </si>
  <si>
    <t>CHFPLN</t>
  </si>
  <si>
    <t>CHFSGD</t>
  </si>
  <si>
    <t>EURAUD</t>
  </si>
  <si>
    <t>EURBRL</t>
  </si>
  <si>
    <t>EURCAD</t>
  </si>
  <si>
    <t>EURCHF</t>
  </si>
  <si>
    <t>EURCZK</t>
  </si>
  <si>
    <t>EURDKK</t>
  </si>
  <si>
    <t>EURHKD</t>
  </si>
  <si>
    <t>EURHUF</t>
  </si>
  <si>
    <t>EURMXN</t>
  </si>
  <si>
    <t>EURNOK</t>
  </si>
  <si>
    <t>EURNZD</t>
  </si>
  <si>
    <t>EURPLN</t>
  </si>
  <si>
    <t>EURRUB</t>
  </si>
  <si>
    <t>EURSEK</t>
  </si>
  <si>
    <t>EURSGD</t>
  </si>
  <si>
    <t>EURTHB</t>
  </si>
  <si>
    <t>EURTRY</t>
  </si>
  <si>
    <t>EURZAR</t>
  </si>
  <si>
    <t>GBPAUD</t>
  </si>
  <si>
    <t>GBPCAD</t>
  </si>
  <si>
    <t>GBPCHF</t>
  </si>
  <si>
    <t>GBPNZD</t>
  </si>
  <si>
    <t>HKDJPY</t>
  </si>
  <si>
    <t>HUFJPY</t>
  </si>
  <si>
    <t>MXNJPY</t>
  </si>
  <si>
    <t>NZDCAD</t>
  </si>
  <si>
    <t>NZDCHF</t>
  </si>
  <si>
    <t>NZDJPY</t>
  </si>
  <si>
    <t>NZDSGD</t>
  </si>
  <si>
    <t>NZDUSD</t>
  </si>
  <si>
    <t>SGDJPY</t>
  </si>
  <si>
    <t>USDBRL</t>
  </si>
  <si>
    <t>USDCHF</t>
  </si>
  <si>
    <t>USDCNH</t>
  </si>
  <si>
    <t>USDCZK</t>
  </si>
  <si>
    <t>USDDKK</t>
  </si>
  <si>
    <t>USDHKD</t>
  </si>
  <si>
    <t>USDHUF</t>
  </si>
  <si>
    <t>USDILS</t>
  </si>
  <si>
    <t>USDMXN</t>
  </si>
  <si>
    <t>USDNOK</t>
  </si>
  <si>
    <t>USDPLN</t>
  </si>
  <si>
    <t>USDRON</t>
  </si>
  <si>
    <t>USDRUB</t>
  </si>
  <si>
    <t>USDSEK</t>
  </si>
  <si>
    <t>USDSGD</t>
  </si>
  <si>
    <t>USDTHB</t>
  </si>
  <si>
    <t>USDTRY</t>
  </si>
  <si>
    <t>USDZAR</t>
  </si>
  <si>
    <t>ZARJPY</t>
  </si>
  <si>
    <t>TRYJPY</t>
  </si>
  <si>
    <t>XAGUSD</t>
  </si>
  <si>
    <t>XAUUSD</t>
  </si>
  <si>
    <t>BTCUSD</t>
  </si>
  <si>
    <t>ETHUSD</t>
  </si>
  <si>
    <t>Tot. Equity</t>
  </si>
  <si>
    <t>GBP USD 4H_210§</t>
  </si>
  <si>
    <t>CLUSTER 11</t>
  </si>
  <si>
    <t>Note</t>
  </si>
  <si>
    <t xml:space="preserve">   live  PAOLA  6 GIU  2020     S=0.9</t>
  </si>
  <si>
    <t>GBP JPY 4H_210</t>
  </si>
  <si>
    <t>GBP USD 4H_210</t>
  </si>
  <si>
    <t>minBodyShadow%</t>
  </si>
  <si>
    <t>minFutureBodyShadow%</t>
  </si>
  <si>
    <t>Pinza monotona de/crescente</t>
  </si>
  <si>
    <t>Close &gt;friday 18:00</t>
  </si>
  <si>
    <t>Percent Delta TakeProfit to update StopLoss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</si>
</sst>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 mmm\ yyyy"/>
    <numFmt numFmtId="165" formatCode="0.0"/>
    <numFmt numFmtId="166" formatCode="0.000"/>
    <numFmt numFmtId="167" formatCode="hh:mm:ss\ AM/PM"/>
    <numFmt numFmtId="168" formatCode="h:mm"/>
  </numFmts>
  <fonts count="2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name val="Geneva"/>
      <family val="2"/>
      <charset val="1"/>
    </font>
    <font>
      <sz val="13"/>
      <name val="Geneva"/>
      <family val="2"/>
      <charset val="1"/>
    </font>
    <font>
      <sz val="18"/>
      <name val="Geneva"/>
      <family val="2"/>
      <charset val="1"/>
    </font>
    <font>
      <sz val="12"/>
      <color rgb="FF804C19"/>
      <name val="Menlo"/>
      <charset val="1"/>
    </font>
    <font>
      <sz val="12"/>
      <color rgb="FF0000FF"/>
      <name val="Menlo"/>
      <charset val="1"/>
    </font>
    <font>
      <sz val="15"/>
      <color rgb="FF2323DC"/>
      <name val="Geneva"/>
      <family val="2"/>
      <charset val="1"/>
    </font>
    <font>
      <sz val="15"/>
      <name val="Geneva"/>
      <family val="2"/>
      <charset val="1"/>
    </font>
    <font>
      <sz val="12"/>
      <color rgb="FFFFFFFF"/>
      <name val="Geneva"/>
    </font>
    <font>
      <sz val="12"/>
      <color rgb="FF333333"/>
      <name val="Arial"/>
      <charset val="1"/>
    </font>
    <font>
      <sz val="13.5"/>
      <color rgb="FF2323DC"/>
      <name val="Geneva"/>
    </font>
    <font>
      <sz val="28"/>
      <color rgb="FFFFFFFF"/>
      <name val="Calibri"/>
      <charset val="1"/>
    </font>
    <font>
      <sz val="28"/>
      <color rgb="FFFF7B59"/>
      <name val="Calibri"/>
      <charset val="1"/>
    </font>
    <font>
      <sz val="28"/>
      <color rgb="FF008000"/>
      <name val="Calibri"/>
      <charset val="1"/>
    </font>
    <font>
      <sz val="15"/>
      <color rgb="FF000000"/>
      <name val="Geneva"/>
      <family val="2"/>
      <charset val="1"/>
    </font>
    <font>
      <sz val="15"/>
      <color rgb="FFFFFFFF"/>
      <name val="Geneva"/>
      <charset val="1"/>
    </font>
    <font>
      <sz val="15"/>
      <color rgb="FF333333"/>
      <name val="Geneva"/>
      <family val="2"/>
      <charset val="1"/>
    </font>
    <font>
      <sz val="15"/>
      <color rgb="FFFF3838"/>
      <name val="Geneva"/>
      <family val="2"/>
      <charset val="1"/>
    </font>
    <font>
      <sz val="15"/>
      <color rgb="FF587647"/>
      <name val="Geneva"/>
      <family val="2"/>
      <charset val="1"/>
    </font>
    <font>
      <sz val="15"/>
      <color rgb="FFFB0007"/>
      <name val="Geneva"/>
      <family val="2"/>
      <charset val="1"/>
    </font>
    <font>
      <sz val="15"/>
      <color rgb="FF0000FF"/>
      <name val="Geneva"/>
      <family val="2"/>
      <charset val="1"/>
    </font>
    <font>
      <sz val="15"/>
      <color rgb="FF262626"/>
      <name val="Geneva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E6FF00"/>
        <bgColor rgb="FFFFFF00"/>
      </patternFill>
    </fill>
    <fill>
      <patternFill patternType="solid">
        <fgColor rgb="FFFF950E"/>
        <bgColor rgb="FFFF8080"/>
      </patternFill>
    </fill>
    <fill>
      <patternFill patternType="solid">
        <fgColor rgb="FFE6E6E6"/>
        <bgColor rgb="FFEBF1DE"/>
      </patternFill>
    </fill>
    <fill>
      <patternFill patternType="solid">
        <fgColor rgb="FF4B1F6F"/>
        <bgColor indexed="64"/>
      </patternFill>
    </fill>
    <fill>
      <patternFill patternType="solid">
        <fgColor rgb="FFFF7B59"/>
        <bgColor rgb="FFFF9900"/>
      </patternFill>
    </fill>
    <fill>
      <patternFill patternType="solid">
        <fgColor rgb="FFFFFFFF"/>
        <bgColor rgb="FFE6EED6"/>
      </patternFill>
    </fill>
    <fill>
      <patternFill patternType="solid">
        <fgColor rgb="FFAAD7E2"/>
        <bgColor rgb="FFCCCCFF"/>
      </patternFill>
    </fill>
    <fill>
      <patternFill patternType="solid">
        <fgColor rgb="FFE6EED6"/>
        <bgColor rgb="FFFFFFFF"/>
      </patternFill>
    </fill>
    <fill>
      <patternFill patternType="solid">
        <fgColor rgb="FFFFE87A"/>
        <bgColor rgb="FFFBC680"/>
      </patternFill>
    </fill>
    <fill>
      <patternFill patternType="solid">
        <fgColor rgb="FFFBC680"/>
        <bgColor rgb="FFFFE87A"/>
      </patternFill>
    </fill>
    <fill>
      <patternFill patternType="solid">
        <fgColor rgb="FFB2B2B2"/>
        <bgColor rgb="FF9A9A9A"/>
      </patternFill>
    </fill>
    <fill>
      <patternFill patternType="solid">
        <fgColor rgb="FFC3FFC1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333333"/>
      </top>
      <bottom style="medium">
        <color rgb="FF333333"/>
      </bottom>
      <diagonal/>
    </border>
    <border>
      <left style="medium">
        <color rgb="FF000000"/>
      </left>
      <right style="medium">
        <color rgb="FF000000"/>
      </right>
      <top style="medium">
        <color rgb="FF333333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33333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rgb="FF333333"/>
      </top>
      <bottom style="medium">
        <color rgb="FF333333"/>
      </bottom>
      <diagonal/>
    </border>
    <border>
      <left style="medium">
        <color auto="1"/>
      </left>
      <right style="medium">
        <color auto="1"/>
      </right>
      <top style="medium">
        <color rgb="FF333333"/>
      </top>
      <bottom/>
      <diagonal/>
    </border>
    <border>
      <left style="medium">
        <color auto="1"/>
      </left>
      <right style="medium">
        <color auto="1"/>
      </right>
      <top/>
      <bottom style="medium">
        <color rgb="FF333333"/>
      </bottom>
      <diagonal/>
    </border>
    <border>
      <left/>
      <right/>
      <top style="medium">
        <color rgb="FF333333"/>
      </top>
      <bottom/>
      <diagonal/>
    </border>
    <border>
      <left style="thin">
        <color rgb="FF9A9A9A"/>
      </left>
      <right style="thin">
        <color rgb="FF9A9A9A"/>
      </right>
      <top style="thin">
        <color auto="1"/>
      </top>
      <bottom style="thin">
        <color rgb="FF9A9A9A"/>
      </bottom>
      <diagonal/>
    </border>
    <border>
      <left style="thin">
        <color rgb="FF9A9A9A"/>
      </left>
      <right style="thin">
        <color auto="1"/>
      </right>
      <top style="thin">
        <color auto="1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auto="1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auto="1"/>
      </bottom>
      <diagonal/>
    </border>
    <border>
      <left style="thin">
        <color rgb="FF9A9A9A"/>
      </left>
      <right style="thin">
        <color auto="1"/>
      </right>
      <top style="thin">
        <color rgb="FF9A9A9A"/>
      </top>
      <bottom style="thin">
        <color auto="1"/>
      </bottom>
      <diagonal/>
    </border>
    <border>
      <left style="thin">
        <color rgb="FF9A9A9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9A9A9A"/>
      </top>
      <bottom style="thin">
        <color auto="1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49" fontId="0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7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65" fontId="7" fillId="0" borderId="5" xfId="0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center"/>
    </xf>
    <xf numFmtId="165" fontId="7" fillId="4" borderId="5" xfId="0" applyNumberFormat="1" applyFont="1" applyFill="1" applyBorder="1" applyAlignment="1">
      <alignment horizontal="center"/>
    </xf>
    <xf numFmtId="166" fontId="7" fillId="4" borderId="5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166" fontId="11" fillId="0" borderId="6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right" vertical="center" wrapText="1"/>
    </xf>
    <xf numFmtId="0" fontId="10" fillId="0" borderId="9" xfId="0" applyFont="1" applyBorder="1" applyAlignment="1">
      <alignment horizontal="right" vertical="center" wrapText="1"/>
    </xf>
    <xf numFmtId="19" fontId="10" fillId="0" borderId="7" xfId="0" applyNumberFormat="1" applyFont="1" applyBorder="1" applyAlignment="1">
      <alignment horizontal="righ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/>
    </xf>
    <xf numFmtId="0" fontId="14" fillId="7" borderId="0" xfId="0" applyFont="1" applyFill="1" applyAlignment="1">
      <alignment horizontal="center"/>
    </xf>
    <xf numFmtId="0" fontId="15" fillId="7" borderId="20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16" fillId="6" borderId="13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7" fillId="0" borderId="14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166" fontId="18" fillId="0" borderId="13" xfId="0" applyNumberFormat="1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15" fillId="8" borderId="26" xfId="0" applyFont="1" applyFill="1" applyBorder="1" applyAlignment="1">
      <alignment vertical="center"/>
    </xf>
    <xf numFmtId="0" fontId="8" fillId="8" borderId="27" xfId="0" applyFont="1" applyFill="1" applyBorder="1" applyAlignment="1">
      <alignment vertical="center"/>
    </xf>
    <xf numFmtId="0" fontId="15" fillId="9" borderId="26" xfId="0" applyFont="1" applyFill="1" applyBorder="1" applyAlignment="1">
      <alignment vertical="center"/>
    </xf>
    <xf numFmtId="0" fontId="8" fillId="9" borderId="27" xfId="0" applyFont="1" applyFill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167" fontId="15" fillId="0" borderId="23" xfId="0" applyNumberFormat="1" applyFont="1" applyBorder="1" applyAlignment="1">
      <alignment vertical="center"/>
    </xf>
    <xf numFmtId="168" fontId="17" fillId="0" borderId="14" xfId="0" applyNumberFormat="1" applyFont="1" applyBorder="1" applyAlignment="1">
      <alignment horizontal="center" vertical="center" wrapText="1"/>
    </xf>
    <xf numFmtId="0" fontId="19" fillId="7" borderId="25" xfId="0" applyFont="1" applyFill="1" applyBorder="1" applyAlignment="1">
      <alignment vertical="center"/>
    </xf>
    <xf numFmtId="0" fontId="15" fillId="10" borderId="26" xfId="0" applyFont="1" applyFill="1" applyBorder="1" applyAlignment="1">
      <alignment vertical="center"/>
    </xf>
    <xf numFmtId="0" fontId="15" fillId="10" borderId="27" xfId="0" applyFont="1" applyFill="1" applyBorder="1" applyAlignment="1">
      <alignment vertical="center"/>
    </xf>
    <xf numFmtId="0" fontId="20" fillId="10" borderId="27" xfId="0" applyFont="1" applyFill="1" applyBorder="1" applyAlignment="1">
      <alignment vertical="center"/>
    </xf>
    <xf numFmtId="0" fontId="21" fillId="11" borderId="26" xfId="0" applyFont="1" applyFill="1" applyBorder="1" applyAlignment="1">
      <alignment vertical="center"/>
    </xf>
    <xf numFmtId="0" fontId="21" fillId="11" borderId="27" xfId="0" applyFont="1" applyFill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12" borderId="26" xfId="0" applyFont="1" applyFill="1" applyBorder="1" applyAlignment="1">
      <alignment vertical="center"/>
    </xf>
    <xf numFmtId="0" fontId="8" fillId="12" borderId="27" xfId="0" applyFont="1" applyFill="1" applyBorder="1" applyAlignment="1">
      <alignment vertical="center"/>
    </xf>
    <xf numFmtId="0" fontId="15" fillId="13" borderId="26" xfId="0" applyFont="1" applyFill="1" applyBorder="1" applyAlignment="1">
      <alignment vertical="center"/>
    </xf>
    <xf numFmtId="0" fontId="15" fillId="13" borderId="27" xfId="0" applyFont="1" applyFill="1" applyBorder="1" applyAlignment="1">
      <alignment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2" fillId="7" borderId="28" xfId="0" applyFont="1" applyFill="1" applyBorder="1" applyAlignment="1">
      <alignment vertical="center"/>
    </xf>
    <xf numFmtId="0" fontId="22" fillId="7" borderId="27" xfId="0" applyFont="1" applyFill="1" applyBorder="1" applyAlignment="1">
      <alignment vertical="center"/>
    </xf>
    <xf numFmtId="0" fontId="16" fillId="6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166" fontId="18" fillId="0" borderId="0" xfId="0" applyNumberFormat="1" applyFont="1" applyBorder="1" applyAlignment="1">
      <alignment horizontal="center" vertical="center" wrapText="1"/>
    </xf>
    <xf numFmtId="168" fontId="17" fillId="0" borderId="0" xfId="0" applyNumberFormat="1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6" fontId="7" fillId="4" borderId="0" xfId="0" applyNumberFormat="1" applyFont="1" applyFill="1" applyBorder="1" applyAlignment="1">
      <alignment horizontal="center"/>
    </xf>
    <xf numFmtId="0" fontId="22" fillId="7" borderId="0" xfId="0" applyFont="1" applyFill="1" applyBorder="1" applyAlignment="1">
      <alignment vertical="center"/>
    </xf>
    <xf numFmtId="0" fontId="10" fillId="0" borderId="0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6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6A8759"/>
      <rgbColor rgb="FF9999FF"/>
      <rgbColor rgb="FF996633"/>
      <rgbColor rgb="FFEBF1DE"/>
      <rgbColor rgb="FFE6E6E6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C"/>
      <rgbColor rgb="FF99CCFF"/>
      <rgbColor rgb="FFFF99CC"/>
      <rgbColor rgb="FFCC99FF"/>
      <rgbColor rgb="FFFDD092"/>
      <rgbColor rgb="FF3366FF"/>
      <rgbColor rgb="FF33CCCC"/>
      <rgbColor rgb="FF99CC00"/>
      <rgbColor rgb="FFFFCC00"/>
      <rgbColor rgb="FFFF950E"/>
      <rgbColor rgb="FFFF3333"/>
      <rgbColor rgb="FF666699"/>
      <rgbColor rgb="FF969696"/>
      <rgbColor rgb="FF003366"/>
      <rgbColor rgb="FF339966"/>
      <rgbColor rgb="FF003300"/>
      <rgbColor rgb="FF333300"/>
      <rgbColor rgb="FF804C19"/>
      <rgbColor rgb="FF993366"/>
      <rgbColor rgb="FF2323D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64"/>
  <sheetViews>
    <sheetView tabSelected="1" topLeftCell="A4" zoomScale="85" zoomScaleNormal="85" workbookViewId="0">
      <pane ySplit="2490" activePane="bottomLeft"/>
      <selection activeCell="D4" sqref="D1:D1048576"/>
      <selection pane="bottomLeft" activeCell="C4" sqref="C4"/>
    </sheetView>
  </sheetViews>
  <sheetFormatPr defaultColWidth="8.7109375" defaultRowHeight="15"/>
  <cols>
    <col min="1" max="1" width="28.7109375" customWidth="1"/>
    <col min="2" max="2" width="22.42578125" customWidth="1"/>
    <col min="3" max="17" width="15.140625" customWidth="1"/>
    <col min="1026" max="1026" width="11.5703125" customWidth="1"/>
  </cols>
  <sheetData>
    <row r="1" spans="1:52 1026:1026" s="1" customFormat="1" ht="39" customHeight="1" thickBot="1">
      <c r="A1" s="32" t="s">
        <v>0</v>
      </c>
      <c r="B1" s="32" t="s">
        <v>186</v>
      </c>
      <c r="C1" s="33" t="s">
        <v>187</v>
      </c>
      <c r="D1" s="33"/>
      <c r="E1" s="34"/>
      <c r="F1" s="34"/>
      <c r="AML1"/>
    </row>
    <row r="2" spans="1:52 1026:1026" s="1" customFormat="1" ht="38.1" customHeight="1" thickBot="1">
      <c r="A2" s="35" t="s">
        <v>1</v>
      </c>
      <c r="B2" s="36"/>
      <c r="C2" s="37" t="s">
        <v>2</v>
      </c>
      <c r="D2" s="37"/>
      <c r="E2" s="37" t="s">
        <v>3</v>
      </c>
      <c r="F2" s="37" t="s">
        <v>4</v>
      </c>
      <c r="G2" s="37" t="s">
        <v>5</v>
      </c>
      <c r="H2" s="37" t="s">
        <v>6</v>
      </c>
      <c r="I2" s="37" t="s">
        <v>7</v>
      </c>
      <c r="J2" s="37" t="s">
        <v>188</v>
      </c>
      <c r="K2" s="37" t="s">
        <v>189</v>
      </c>
      <c r="L2" s="37" t="s">
        <v>8</v>
      </c>
      <c r="M2" s="37" t="s">
        <v>9</v>
      </c>
      <c r="N2" s="71"/>
      <c r="O2" s="21" t="s">
        <v>184</v>
      </c>
      <c r="AML2"/>
    </row>
    <row r="3" spans="1:52 1026:1026" ht="18.75">
      <c r="A3" s="38" t="s">
        <v>10</v>
      </c>
      <c r="B3" s="39" t="s">
        <v>11</v>
      </c>
      <c r="C3" s="40" t="s">
        <v>12</v>
      </c>
      <c r="D3" s="40"/>
      <c r="E3" s="40" t="s">
        <v>12</v>
      </c>
      <c r="F3" s="40" t="s">
        <v>13</v>
      </c>
      <c r="G3" s="40" t="s">
        <v>14</v>
      </c>
      <c r="H3" s="40" t="s">
        <v>15</v>
      </c>
      <c r="I3" s="40" t="s">
        <v>16</v>
      </c>
      <c r="J3" s="40" t="s">
        <v>17</v>
      </c>
      <c r="K3" s="40" t="s">
        <v>18</v>
      </c>
      <c r="L3" s="40" t="s">
        <v>19</v>
      </c>
      <c r="M3" s="40" t="s">
        <v>20</v>
      </c>
      <c r="N3" s="72"/>
      <c r="O3" s="22" t="s">
        <v>18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 1026:1026" ht="38.25" thickBot="1">
      <c r="A4" s="38" t="s">
        <v>21</v>
      </c>
      <c r="C4" t="s">
        <v>111</v>
      </c>
      <c r="D4" s="40"/>
      <c r="E4" s="40" t="s">
        <v>22</v>
      </c>
      <c r="F4" s="40" t="s">
        <v>22</v>
      </c>
      <c r="G4" s="40" t="s">
        <v>22</v>
      </c>
      <c r="H4" s="40" t="s">
        <v>22</v>
      </c>
      <c r="I4" s="40" t="s">
        <v>22</v>
      </c>
      <c r="J4" s="40" t="s">
        <v>22</v>
      </c>
      <c r="K4" s="40" t="s">
        <v>22</v>
      </c>
      <c r="L4" s="40" t="s">
        <v>22</v>
      </c>
      <c r="M4" s="40" t="s">
        <v>22</v>
      </c>
      <c r="N4" s="72"/>
      <c r="O4" s="22" t="s">
        <v>22</v>
      </c>
    </row>
    <row r="5" spans="1:52 1026:1026" ht="19.5" thickBot="1">
      <c r="A5" s="38" t="s">
        <v>23</v>
      </c>
      <c r="B5" s="41"/>
      <c r="C5" s="42">
        <v>3.2000000000000001E-2</v>
      </c>
      <c r="D5" s="42"/>
      <c r="E5" s="42">
        <v>1.7999999999999999E-2</v>
      </c>
      <c r="F5" s="42">
        <v>2.8000000000000001E-2</v>
      </c>
      <c r="G5" s="42">
        <v>1.7999999999999999E-2</v>
      </c>
      <c r="H5" s="42">
        <v>1.7999999999999999E-2</v>
      </c>
      <c r="I5" s="42">
        <v>1.7999999999999999E-2</v>
      </c>
      <c r="J5" s="42">
        <v>1.6E-2</v>
      </c>
      <c r="K5" s="42">
        <v>1.6E-2</v>
      </c>
      <c r="L5" s="42">
        <v>0.02</v>
      </c>
      <c r="M5" s="42">
        <v>0.02</v>
      </c>
      <c r="N5" s="73"/>
      <c r="O5" s="23">
        <v>3.5999999999999997E-2</v>
      </c>
    </row>
    <row r="6" spans="1:52 1026:1026" ht="19.5" thickBot="1">
      <c r="A6" s="38" t="s">
        <v>24</v>
      </c>
      <c r="B6" s="41"/>
      <c r="C6" s="40">
        <v>2</v>
      </c>
      <c r="D6" s="40"/>
      <c r="E6" s="40">
        <v>1</v>
      </c>
      <c r="F6" s="40">
        <v>1</v>
      </c>
      <c r="G6" s="40">
        <v>2</v>
      </c>
      <c r="H6" s="40">
        <v>2</v>
      </c>
      <c r="I6" s="40">
        <v>2</v>
      </c>
      <c r="J6" s="40">
        <v>2</v>
      </c>
      <c r="K6" s="40">
        <v>2</v>
      </c>
      <c r="L6" s="40">
        <v>2</v>
      </c>
      <c r="M6" s="40">
        <v>2</v>
      </c>
      <c r="N6" s="72"/>
      <c r="O6" s="24">
        <v>2</v>
      </c>
    </row>
    <row r="7" spans="1:52 1026:1026" ht="18.75">
      <c r="A7" s="38" t="s">
        <v>25</v>
      </c>
      <c r="B7" s="41"/>
      <c r="C7" s="43">
        <v>10</v>
      </c>
      <c r="D7" s="43"/>
      <c r="E7" s="43">
        <v>50</v>
      </c>
      <c r="F7" s="43">
        <v>75</v>
      </c>
      <c r="G7" s="43">
        <v>10</v>
      </c>
      <c r="H7" s="43">
        <v>30</v>
      </c>
      <c r="I7" s="43">
        <v>10</v>
      </c>
      <c r="J7" s="43">
        <v>20</v>
      </c>
      <c r="K7" s="43">
        <v>10</v>
      </c>
      <c r="L7" s="43">
        <v>10</v>
      </c>
      <c r="M7" s="43">
        <v>15</v>
      </c>
      <c r="N7" s="72"/>
      <c r="O7" s="25">
        <v>10</v>
      </c>
    </row>
    <row r="8" spans="1:52 1026:1026" ht="18.75">
      <c r="A8" s="38" t="s">
        <v>26</v>
      </c>
      <c r="B8" s="39" t="s">
        <v>27</v>
      </c>
      <c r="C8" s="40">
        <v>95</v>
      </c>
      <c r="D8" s="40"/>
      <c r="E8" s="40">
        <v>95</v>
      </c>
      <c r="F8" s="40">
        <v>99</v>
      </c>
      <c r="G8" s="40">
        <v>100</v>
      </c>
      <c r="H8" s="40">
        <v>98</v>
      </c>
      <c r="I8" s="40">
        <v>99</v>
      </c>
      <c r="J8" s="40">
        <v>95</v>
      </c>
      <c r="K8" s="40">
        <v>99</v>
      </c>
      <c r="L8" s="40">
        <v>95</v>
      </c>
      <c r="M8" s="40">
        <v>99</v>
      </c>
      <c r="N8" s="72"/>
      <c r="O8" s="24">
        <v>99</v>
      </c>
    </row>
    <row r="9" spans="1:52 1026:1026" ht="18.75">
      <c r="A9" s="38" t="s">
        <v>28</v>
      </c>
      <c r="B9" s="41"/>
      <c r="C9" s="40">
        <v>5</v>
      </c>
      <c r="D9" s="40"/>
      <c r="E9" s="40">
        <v>5</v>
      </c>
      <c r="F9" s="40">
        <v>20</v>
      </c>
      <c r="G9" s="40">
        <v>12</v>
      </c>
      <c r="H9" s="40">
        <v>16</v>
      </c>
      <c r="I9" s="40">
        <v>10</v>
      </c>
      <c r="J9" s="40">
        <v>16</v>
      </c>
      <c r="K9" s="40">
        <v>16</v>
      </c>
      <c r="L9" s="40">
        <v>10</v>
      </c>
      <c r="M9" s="40">
        <v>10</v>
      </c>
      <c r="N9" s="72"/>
      <c r="O9" s="24">
        <v>16</v>
      </c>
    </row>
    <row r="10" spans="1:52 1026:1026" ht="18.75">
      <c r="A10" s="38" t="s">
        <v>29</v>
      </c>
      <c r="B10" s="41"/>
      <c r="C10" s="40">
        <v>500</v>
      </c>
      <c r="D10" s="40"/>
      <c r="E10" s="40">
        <v>500</v>
      </c>
      <c r="F10" s="40">
        <v>200</v>
      </c>
      <c r="G10" s="40">
        <v>200</v>
      </c>
      <c r="H10" s="40">
        <v>500</v>
      </c>
      <c r="I10" s="40">
        <v>100</v>
      </c>
      <c r="J10" s="40">
        <v>500</v>
      </c>
      <c r="K10" s="40">
        <v>100</v>
      </c>
      <c r="L10" s="40">
        <v>200</v>
      </c>
      <c r="M10" s="40">
        <v>200</v>
      </c>
      <c r="N10" s="72"/>
      <c r="O10" s="24">
        <v>100</v>
      </c>
    </row>
    <row r="11" spans="1:52 1026:1026" ht="18.75">
      <c r="A11" s="38" t="s">
        <v>30</v>
      </c>
      <c r="B11" s="41"/>
      <c r="C11" s="40">
        <v>4</v>
      </c>
      <c r="D11" s="40"/>
      <c r="E11" s="40">
        <v>20</v>
      </c>
      <c r="F11" s="40">
        <v>30</v>
      </c>
      <c r="G11" s="40">
        <v>6</v>
      </c>
      <c r="H11" s="40">
        <v>6</v>
      </c>
      <c r="I11" s="40">
        <v>6</v>
      </c>
      <c r="J11" s="40">
        <v>10</v>
      </c>
      <c r="K11" s="40">
        <v>8</v>
      </c>
      <c r="L11" s="40">
        <v>10</v>
      </c>
      <c r="M11" s="40">
        <v>8</v>
      </c>
      <c r="N11" s="72"/>
      <c r="O11" s="24">
        <v>8</v>
      </c>
    </row>
    <row r="12" spans="1:52 1026:1026" ht="19.5" thickBot="1">
      <c r="A12" s="38" t="s">
        <v>31</v>
      </c>
      <c r="B12" s="41"/>
      <c r="C12" s="44">
        <v>200</v>
      </c>
      <c r="D12" s="44"/>
      <c r="E12" s="44">
        <v>200</v>
      </c>
      <c r="F12" s="44">
        <v>60</v>
      </c>
      <c r="G12" s="44">
        <v>100</v>
      </c>
      <c r="H12" s="44">
        <v>60</v>
      </c>
      <c r="I12" s="44">
        <v>50</v>
      </c>
      <c r="J12" s="44">
        <v>200</v>
      </c>
      <c r="K12" s="44">
        <v>70</v>
      </c>
      <c r="L12" s="44">
        <v>80</v>
      </c>
      <c r="M12" s="44">
        <v>100</v>
      </c>
      <c r="N12" s="72"/>
      <c r="O12" s="26">
        <v>70</v>
      </c>
    </row>
    <row r="13" spans="1:52 1026:1026" ht="18.75">
      <c r="A13" s="38" t="s">
        <v>32</v>
      </c>
      <c r="B13" s="41"/>
      <c r="C13" s="40">
        <v>17</v>
      </c>
      <c r="D13" s="40"/>
      <c r="E13" s="40">
        <v>16</v>
      </c>
      <c r="F13" s="40">
        <v>10</v>
      </c>
      <c r="G13" s="40">
        <v>10</v>
      </c>
      <c r="H13" s="40">
        <v>21</v>
      </c>
      <c r="I13" s="40">
        <v>8</v>
      </c>
      <c r="J13" s="40">
        <v>50</v>
      </c>
      <c r="K13" s="40">
        <v>12</v>
      </c>
      <c r="L13" s="40">
        <v>20</v>
      </c>
      <c r="M13" s="40">
        <v>13</v>
      </c>
      <c r="N13" s="72"/>
      <c r="O13" s="24">
        <v>12</v>
      </c>
    </row>
    <row r="14" spans="1:52 1026:1026" ht="19.5" thickBot="1">
      <c r="A14" s="45" t="s">
        <v>33</v>
      </c>
      <c r="B14" s="46"/>
      <c r="C14" s="40">
        <v>0</v>
      </c>
      <c r="D14" s="40"/>
      <c r="E14" s="40">
        <v>60</v>
      </c>
      <c r="F14" s="40">
        <v>0</v>
      </c>
      <c r="G14" s="40">
        <v>90</v>
      </c>
      <c r="H14" s="40">
        <v>0</v>
      </c>
      <c r="I14" s="40">
        <v>0</v>
      </c>
      <c r="J14" s="40">
        <v>0</v>
      </c>
      <c r="K14" s="40">
        <v>50</v>
      </c>
      <c r="L14" s="40">
        <v>100</v>
      </c>
      <c r="M14" s="40">
        <v>40</v>
      </c>
      <c r="N14" s="72"/>
      <c r="O14" s="24">
        <v>50</v>
      </c>
    </row>
    <row r="15" spans="1:52 1026:1026" ht="18.75">
      <c r="A15" s="47" t="s">
        <v>34</v>
      </c>
      <c r="B15" s="48"/>
      <c r="C15" s="43">
        <v>5</v>
      </c>
      <c r="D15" s="43"/>
      <c r="E15" s="43">
        <v>5</v>
      </c>
      <c r="F15" s="43">
        <v>0</v>
      </c>
      <c r="G15" s="43">
        <v>0</v>
      </c>
      <c r="H15" s="43">
        <v>0</v>
      </c>
      <c r="I15" s="43">
        <v>5</v>
      </c>
      <c r="J15" s="43">
        <v>0</v>
      </c>
      <c r="K15" s="43">
        <v>30</v>
      </c>
      <c r="L15" s="43">
        <v>0</v>
      </c>
      <c r="M15" s="43">
        <v>0</v>
      </c>
      <c r="N15" s="72"/>
      <c r="O15" s="25">
        <v>30</v>
      </c>
    </row>
    <row r="16" spans="1:52 1026:1026" ht="18.75">
      <c r="A16" s="47" t="s">
        <v>35</v>
      </c>
      <c r="B16" s="48"/>
      <c r="C16" s="40">
        <v>65</v>
      </c>
      <c r="D16" s="40"/>
      <c r="E16" s="40">
        <v>65</v>
      </c>
      <c r="F16" s="40">
        <v>50</v>
      </c>
      <c r="G16" s="40">
        <v>60</v>
      </c>
      <c r="H16" s="40">
        <v>50</v>
      </c>
      <c r="I16" s="40">
        <v>45</v>
      </c>
      <c r="J16" s="40">
        <v>70</v>
      </c>
      <c r="K16" s="40">
        <v>30</v>
      </c>
      <c r="L16" s="40">
        <v>60</v>
      </c>
      <c r="M16" s="40">
        <v>60</v>
      </c>
      <c r="N16" s="72"/>
      <c r="O16" s="24">
        <v>30</v>
      </c>
    </row>
    <row r="17" spans="1:15" ht="18.75">
      <c r="A17" s="47" t="s">
        <v>36</v>
      </c>
      <c r="B17" s="48"/>
      <c r="C17" s="40">
        <v>0</v>
      </c>
      <c r="D17" s="40"/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72"/>
      <c r="O17" s="24">
        <v>0</v>
      </c>
    </row>
    <row r="18" spans="1:15" ht="18.75">
      <c r="A18" s="49" t="s">
        <v>37</v>
      </c>
      <c r="B18" s="50"/>
      <c r="C18" s="40">
        <v>0</v>
      </c>
      <c r="D18" s="40"/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72"/>
      <c r="O18" s="24">
        <v>0</v>
      </c>
    </row>
    <row r="19" spans="1:15" ht="18.75">
      <c r="A19" s="49" t="s">
        <v>38</v>
      </c>
      <c r="B19" s="50"/>
      <c r="C19" s="40">
        <v>800</v>
      </c>
      <c r="D19" s="40"/>
      <c r="E19" s="40">
        <v>800</v>
      </c>
      <c r="F19" s="40">
        <v>800</v>
      </c>
      <c r="G19" s="40">
        <v>800</v>
      </c>
      <c r="H19" s="40">
        <v>600</v>
      </c>
      <c r="I19" s="40">
        <v>800</v>
      </c>
      <c r="J19" s="40">
        <v>800</v>
      </c>
      <c r="K19" s="40">
        <v>800</v>
      </c>
      <c r="L19" s="40">
        <v>800</v>
      </c>
      <c r="M19" s="40">
        <v>700</v>
      </c>
      <c r="N19" s="72"/>
      <c r="O19" s="24">
        <v>800</v>
      </c>
    </row>
    <row r="20" spans="1:15" ht="19.5" thickBot="1">
      <c r="A20" s="49" t="s">
        <v>39</v>
      </c>
      <c r="B20" s="50"/>
      <c r="C20" s="44">
        <v>0</v>
      </c>
      <c r="D20" s="44"/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72"/>
      <c r="O20" s="26">
        <v>0</v>
      </c>
    </row>
    <row r="21" spans="1:15" ht="18.75">
      <c r="A21" s="51" t="s">
        <v>40</v>
      </c>
      <c r="B21" s="52"/>
      <c r="C21" s="40">
        <v>4</v>
      </c>
      <c r="D21" s="40"/>
      <c r="E21" s="40">
        <v>0</v>
      </c>
      <c r="F21" s="40">
        <v>10</v>
      </c>
      <c r="G21" s="40">
        <v>4</v>
      </c>
      <c r="H21" s="40">
        <v>5</v>
      </c>
      <c r="I21" s="40">
        <v>5</v>
      </c>
      <c r="J21" s="40">
        <v>20</v>
      </c>
      <c r="K21" s="40">
        <v>6</v>
      </c>
      <c r="L21" s="40">
        <v>5</v>
      </c>
      <c r="M21" s="40">
        <v>5</v>
      </c>
      <c r="N21" s="72"/>
      <c r="O21" s="24">
        <v>6</v>
      </c>
    </row>
    <row r="22" spans="1:15" ht="18.75">
      <c r="A22" s="38" t="s">
        <v>41</v>
      </c>
      <c r="B22" s="41"/>
      <c r="C22" s="40">
        <v>200</v>
      </c>
      <c r="D22" s="40"/>
      <c r="E22" s="40">
        <v>200</v>
      </c>
      <c r="F22" s="40">
        <v>100</v>
      </c>
      <c r="G22" s="40">
        <v>80</v>
      </c>
      <c r="H22" s="40">
        <v>200</v>
      </c>
      <c r="I22" s="40">
        <v>200</v>
      </c>
      <c r="J22" s="40">
        <v>200</v>
      </c>
      <c r="K22" s="40">
        <v>200</v>
      </c>
      <c r="L22" s="40">
        <v>200</v>
      </c>
      <c r="M22" s="40">
        <v>200</v>
      </c>
      <c r="N22" s="72"/>
      <c r="O22" s="24">
        <v>200</v>
      </c>
    </row>
    <row r="23" spans="1:15" ht="18.75">
      <c r="A23" s="38" t="s">
        <v>42</v>
      </c>
      <c r="B23" s="41"/>
      <c r="C23" s="40">
        <v>0</v>
      </c>
      <c r="D23" s="40"/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72"/>
      <c r="O23" s="24">
        <v>0</v>
      </c>
    </row>
    <row r="24" spans="1:15" ht="18.75">
      <c r="A24" s="38" t="s">
        <v>43</v>
      </c>
      <c r="B24" s="53">
        <v>0.29166666666666702</v>
      </c>
      <c r="C24" s="54">
        <v>0.33333333333333298</v>
      </c>
      <c r="D24" s="54"/>
      <c r="E24" s="54">
        <v>0.33333333333333298</v>
      </c>
      <c r="F24" s="54">
        <v>0.33333333333333298</v>
      </c>
      <c r="G24" s="54">
        <v>0.29097222222222202</v>
      </c>
      <c r="H24" s="54">
        <v>0.29097222222222202</v>
      </c>
      <c r="I24" s="54">
        <v>0.29097222222222202</v>
      </c>
      <c r="J24" s="54">
        <v>0.29097222222222202</v>
      </c>
      <c r="K24" s="54">
        <v>0.29097222222222202</v>
      </c>
      <c r="L24" s="54">
        <v>0.29097222222222202</v>
      </c>
      <c r="M24" s="54">
        <v>0.33333333333333298</v>
      </c>
      <c r="N24" s="74"/>
      <c r="O24" s="27">
        <v>0.29097222222222224</v>
      </c>
    </row>
    <row r="25" spans="1:15" ht="18.75">
      <c r="A25" s="38" t="s">
        <v>44</v>
      </c>
      <c r="B25" s="53">
        <v>0.70833333333333304</v>
      </c>
      <c r="C25" s="54">
        <v>0.83402777777777803</v>
      </c>
      <c r="D25" s="54"/>
      <c r="E25" s="54">
        <v>0.83402777777777803</v>
      </c>
      <c r="F25" s="54">
        <v>0.83402777777777803</v>
      </c>
      <c r="G25" s="54">
        <v>0.83402777777777803</v>
      </c>
      <c r="H25" s="54">
        <v>0.83402777777777803</v>
      </c>
      <c r="I25" s="54">
        <v>0.83402777777777803</v>
      </c>
      <c r="J25" s="54">
        <v>0.83402777777777803</v>
      </c>
      <c r="K25" s="54">
        <v>0.83402777777777803</v>
      </c>
      <c r="L25" s="54">
        <v>0.83402777777777803</v>
      </c>
      <c r="M25" s="54">
        <v>0.83402777777777803</v>
      </c>
      <c r="N25" s="74"/>
      <c r="O25" s="27">
        <v>0.8340277777777777</v>
      </c>
    </row>
    <row r="26" spans="1:15" ht="18.75">
      <c r="A26" s="38" t="s">
        <v>45</v>
      </c>
      <c r="B26" s="41"/>
      <c r="C26" s="40">
        <v>3</v>
      </c>
      <c r="D26" s="40"/>
      <c r="E26" s="40">
        <v>2</v>
      </c>
      <c r="F26" s="40">
        <v>8</v>
      </c>
      <c r="G26" s="40">
        <v>2</v>
      </c>
      <c r="H26" s="40">
        <v>2</v>
      </c>
      <c r="I26" s="40">
        <v>3</v>
      </c>
      <c r="J26" s="40">
        <v>2</v>
      </c>
      <c r="K26" s="40">
        <v>5</v>
      </c>
      <c r="L26" s="40">
        <v>2</v>
      </c>
      <c r="M26" s="40">
        <v>2</v>
      </c>
      <c r="N26" s="72"/>
      <c r="O26" s="24">
        <v>5</v>
      </c>
    </row>
    <row r="27" spans="1:15" ht="19.5" thickBot="1">
      <c r="A27" s="45" t="s">
        <v>46</v>
      </c>
      <c r="B27" s="55" t="s">
        <v>47</v>
      </c>
      <c r="C27" s="40" t="s">
        <v>48</v>
      </c>
      <c r="D27" s="40"/>
      <c r="E27" s="40" t="s">
        <v>48</v>
      </c>
      <c r="F27" s="40" t="s">
        <v>48</v>
      </c>
      <c r="G27" s="40" t="s">
        <v>48</v>
      </c>
      <c r="H27" s="40" t="s">
        <v>48</v>
      </c>
      <c r="I27" s="40" t="s">
        <v>48</v>
      </c>
      <c r="J27" s="40" t="s">
        <v>48</v>
      </c>
      <c r="K27" s="40" t="s">
        <v>48</v>
      </c>
      <c r="L27" s="40" t="s">
        <v>48</v>
      </c>
      <c r="M27" s="40" t="s">
        <v>48</v>
      </c>
      <c r="N27" s="72"/>
      <c r="O27" s="28" t="s">
        <v>48</v>
      </c>
    </row>
    <row r="28" spans="1:15" ht="18.75">
      <c r="A28" s="56" t="s">
        <v>49</v>
      </c>
      <c r="B28" s="57" t="s">
        <v>50</v>
      </c>
      <c r="C28" s="43">
        <v>5</v>
      </c>
      <c r="D28" s="43"/>
      <c r="E28" s="43">
        <v>0</v>
      </c>
      <c r="F28" s="43">
        <v>0</v>
      </c>
      <c r="G28" s="43">
        <v>5</v>
      </c>
      <c r="H28" s="43">
        <v>5</v>
      </c>
      <c r="I28" s="43">
        <v>5</v>
      </c>
      <c r="J28" s="43">
        <v>7</v>
      </c>
      <c r="K28" s="43">
        <v>4</v>
      </c>
      <c r="L28" s="43">
        <v>0</v>
      </c>
      <c r="M28" s="43">
        <v>4</v>
      </c>
      <c r="N28" s="72"/>
      <c r="O28" s="25">
        <v>4</v>
      </c>
    </row>
    <row r="29" spans="1:15" ht="18.75">
      <c r="A29" s="56" t="s">
        <v>190</v>
      </c>
      <c r="B29" s="58" t="s">
        <v>51</v>
      </c>
      <c r="C29" s="40">
        <v>15</v>
      </c>
      <c r="D29" s="40"/>
      <c r="E29" s="40">
        <v>0</v>
      </c>
      <c r="F29" s="40">
        <v>0</v>
      </c>
      <c r="G29" s="40">
        <v>15</v>
      </c>
      <c r="H29" s="40">
        <v>0</v>
      </c>
      <c r="I29" s="40">
        <v>15</v>
      </c>
      <c r="J29" s="40">
        <v>10</v>
      </c>
      <c r="K29" s="40">
        <v>15</v>
      </c>
      <c r="L29" s="40">
        <v>20</v>
      </c>
      <c r="M29" s="40">
        <v>10</v>
      </c>
      <c r="N29" s="72"/>
      <c r="O29" s="24">
        <v>15</v>
      </c>
    </row>
    <row r="30" spans="1:15" ht="18.75">
      <c r="A30" s="56" t="s">
        <v>52</v>
      </c>
      <c r="B30" s="58" t="s">
        <v>53</v>
      </c>
      <c r="C30" s="40">
        <v>2</v>
      </c>
      <c r="D30" s="40"/>
      <c r="E30" s="40">
        <v>0</v>
      </c>
      <c r="F30" s="40">
        <v>0</v>
      </c>
      <c r="G30" s="40">
        <v>2</v>
      </c>
      <c r="H30" s="40">
        <v>5</v>
      </c>
      <c r="I30" s="40">
        <v>2</v>
      </c>
      <c r="J30" s="40">
        <v>0</v>
      </c>
      <c r="K30" s="40">
        <v>3</v>
      </c>
      <c r="L30" s="40">
        <v>1</v>
      </c>
      <c r="M30" s="40">
        <v>4</v>
      </c>
      <c r="N30" s="72"/>
      <c r="O30" s="24">
        <v>6</v>
      </c>
    </row>
    <row r="31" spans="1:15" ht="18.75">
      <c r="A31" s="59" t="s">
        <v>191</v>
      </c>
      <c r="B31" s="60" t="s">
        <v>54</v>
      </c>
      <c r="C31" s="40">
        <v>0</v>
      </c>
      <c r="D31" s="40"/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72"/>
      <c r="O31" s="24">
        <v>0</v>
      </c>
    </row>
    <row r="32" spans="1:15" ht="19.5" thickBot="1">
      <c r="A32" s="59" t="s">
        <v>55</v>
      </c>
      <c r="B32" s="60" t="s">
        <v>56</v>
      </c>
      <c r="C32" s="44">
        <v>0</v>
      </c>
      <c r="D32" s="44"/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72"/>
      <c r="O32" s="26">
        <v>0</v>
      </c>
    </row>
    <row r="33" spans="1:15" ht="18.75">
      <c r="A33" s="51" t="s">
        <v>57</v>
      </c>
      <c r="B33" s="61" t="s">
        <v>58</v>
      </c>
      <c r="C33" s="40" t="s">
        <v>59</v>
      </c>
      <c r="D33" s="40"/>
      <c r="E33" s="40" t="s">
        <v>59</v>
      </c>
      <c r="F33" s="40" t="s">
        <v>59</v>
      </c>
      <c r="G33" s="40" t="s">
        <v>59</v>
      </c>
      <c r="H33" s="40" t="s">
        <v>59</v>
      </c>
      <c r="I33" s="40" t="s">
        <v>59</v>
      </c>
      <c r="J33" s="40" t="s">
        <v>59</v>
      </c>
      <c r="K33" s="40" t="s">
        <v>59</v>
      </c>
      <c r="L33" s="40" t="s">
        <v>59</v>
      </c>
      <c r="M33" s="40" t="s">
        <v>59</v>
      </c>
      <c r="N33" s="72"/>
      <c r="O33" s="28" t="s">
        <v>59</v>
      </c>
    </row>
    <row r="34" spans="1:15" ht="18.75">
      <c r="A34" s="38" t="s">
        <v>60</v>
      </c>
      <c r="B34" s="41"/>
      <c r="C34" s="40">
        <v>0</v>
      </c>
      <c r="D34" s="40"/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72"/>
      <c r="O34" s="24">
        <v>0</v>
      </c>
    </row>
    <row r="35" spans="1:15" ht="19.5" thickBot="1">
      <c r="A35" s="45" t="s">
        <v>61</v>
      </c>
      <c r="B35" s="46"/>
      <c r="C35" s="40">
        <v>0</v>
      </c>
      <c r="D35" s="40"/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72"/>
      <c r="O35" s="24">
        <v>0</v>
      </c>
    </row>
    <row r="36" spans="1:15" ht="18.75">
      <c r="A36" s="62" t="s">
        <v>62</v>
      </c>
      <c r="B36" s="63"/>
      <c r="C36" s="43">
        <v>6</v>
      </c>
      <c r="D36" s="43"/>
      <c r="E36" s="43">
        <v>6</v>
      </c>
      <c r="F36" s="43">
        <v>9</v>
      </c>
      <c r="G36" s="43">
        <v>3</v>
      </c>
      <c r="H36" s="43">
        <v>9</v>
      </c>
      <c r="I36" s="43">
        <v>7</v>
      </c>
      <c r="J36" s="43">
        <v>6</v>
      </c>
      <c r="K36" s="43">
        <v>6</v>
      </c>
      <c r="L36" s="43">
        <v>6</v>
      </c>
      <c r="M36" s="43">
        <v>6</v>
      </c>
      <c r="N36" s="72"/>
      <c r="O36" s="25">
        <v>6</v>
      </c>
    </row>
    <row r="37" spans="1:15" ht="19.5" thickBot="1">
      <c r="A37" s="62" t="s">
        <v>63</v>
      </c>
      <c r="B37" s="63"/>
      <c r="C37" s="44">
        <v>6</v>
      </c>
      <c r="D37" s="44"/>
      <c r="E37" s="44">
        <v>6</v>
      </c>
      <c r="F37" s="44">
        <v>9</v>
      </c>
      <c r="G37" s="44">
        <v>3</v>
      </c>
      <c r="H37" s="44">
        <v>9</v>
      </c>
      <c r="I37" s="44">
        <v>5</v>
      </c>
      <c r="J37" s="44">
        <v>6</v>
      </c>
      <c r="K37" s="44">
        <v>4</v>
      </c>
      <c r="L37" s="44">
        <v>6</v>
      </c>
      <c r="M37" s="44">
        <v>6</v>
      </c>
      <c r="N37" s="72"/>
      <c r="O37" s="26">
        <v>4</v>
      </c>
    </row>
    <row r="38" spans="1:15" ht="18.75">
      <c r="A38" s="51" t="s">
        <v>192</v>
      </c>
      <c r="B38" s="52"/>
      <c r="C38" s="40" t="s">
        <v>64</v>
      </c>
      <c r="D38" s="40"/>
      <c r="E38" s="40" t="s">
        <v>64</v>
      </c>
      <c r="F38" s="40" t="s">
        <v>64</v>
      </c>
      <c r="G38" s="40" t="s">
        <v>64</v>
      </c>
      <c r="H38" s="40" t="s">
        <v>64</v>
      </c>
      <c r="I38" s="40" t="s">
        <v>64</v>
      </c>
      <c r="J38" s="40" t="s">
        <v>64</v>
      </c>
      <c r="K38" s="40" t="s">
        <v>64</v>
      </c>
      <c r="L38" s="40" t="s">
        <v>64</v>
      </c>
      <c r="M38" s="40" t="s">
        <v>64</v>
      </c>
      <c r="N38" s="72"/>
      <c r="O38" s="28" t="s">
        <v>64</v>
      </c>
    </row>
    <row r="39" spans="1:15" ht="18.75">
      <c r="A39" s="38" t="s">
        <v>65</v>
      </c>
      <c r="B39" s="41"/>
      <c r="C39" s="40">
        <v>1000</v>
      </c>
      <c r="D39" s="40"/>
      <c r="E39" s="40">
        <v>1000</v>
      </c>
      <c r="F39" s="40">
        <v>1000</v>
      </c>
      <c r="G39" s="40">
        <v>1000</v>
      </c>
      <c r="H39" s="40">
        <v>1000</v>
      </c>
      <c r="I39" s="40">
        <v>1000</v>
      </c>
      <c r="J39" s="40">
        <v>1000</v>
      </c>
      <c r="K39" s="40">
        <v>1000</v>
      </c>
      <c r="L39" s="40">
        <v>1000</v>
      </c>
      <c r="M39" s="40">
        <v>1000</v>
      </c>
      <c r="N39" s="72"/>
      <c r="O39" s="24">
        <v>1000</v>
      </c>
    </row>
    <row r="40" spans="1:15" ht="19.5" thickBot="1">
      <c r="A40" s="45" t="s">
        <v>66</v>
      </c>
      <c r="B40" s="46"/>
      <c r="C40" s="40" t="s">
        <v>64</v>
      </c>
      <c r="D40" s="40"/>
      <c r="E40" s="40" t="s">
        <v>64</v>
      </c>
      <c r="F40" s="40" t="s">
        <v>64</v>
      </c>
      <c r="G40" s="40" t="s">
        <v>64</v>
      </c>
      <c r="H40" s="40" t="s">
        <v>64</v>
      </c>
      <c r="I40" s="40" t="s">
        <v>64</v>
      </c>
      <c r="J40" s="40" t="s">
        <v>64</v>
      </c>
      <c r="K40" s="40" t="s">
        <v>64</v>
      </c>
      <c r="L40" s="40" t="s">
        <v>64</v>
      </c>
      <c r="M40" s="40" t="s">
        <v>64</v>
      </c>
      <c r="N40" s="72"/>
      <c r="O40" s="28" t="s">
        <v>64</v>
      </c>
    </row>
    <row r="41" spans="1:15" ht="19.5" thickBot="1">
      <c r="A41" s="64" t="s">
        <v>67</v>
      </c>
      <c r="B41" s="65" t="s">
        <v>68</v>
      </c>
      <c r="C41" s="66">
        <v>0</v>
      </c>
      <c r="D41" s="66"/>
      <c r="E41" s="66">
        <v>0</v>
      </c>
      <c r="F41" s="66">
        <v>0</v>
      </c>
      <c r="G41" s="66">
        <v>0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75"/>
      <c r="O41" s="29">
        <v>0</v>
      </c>
    </row>
    <row r="42" spans="1:15" ht="37.5">
      <c r="A42" s="61" t="s">
        <v>69</v>
      </c>
      <c r="B42" s="41"/>
      <c r="C42" s="67" t="s">
        <v>70</v>
      </c>
      <c r="D42" s="67"/>
      <c r="E42" s="67" t="s">
        <v>71</v>
      </c>
      <c r="F42" s="67" t="s">
        <v>72</v>
      </c>
      <c r="G42" s="67" t="s">
        <v>73</v>
      </c>
      <c r="H42" s="67" t="s">
        <v>74</v>
      </c>
      <c r="I42" s="67" t="s">
        <v>75</v>
      </c>
      <c r="J42" s="67" t="s">
        <v>76</v>
      </c>
      <c r="K42" s="67" t="s">
        <v>77</v>
      </c>
      <c r="L42" s="67" t="s">
        <v>78</v>
      </c>
      <c r="M42" s="67" t="s">
        <v>79</v>
      </c>
      <c r="N42" s="76"/>
      <c r="O42" s="30" t="s">
        <v>185</v>
      </c>
    </row>
    <row r="43" spans="1:15" ht="19.5" thickBot="1">
      <c r="A43" s="39" t="s">
        <v>80</v>
      </c>
      <c r="B43" s="41"/>
      <c r="C43" s="68">
        <v>1</v>
      </c>
      <c r="D43" s="68"/>
      <c r="E43" s="68">
        <v>1</v>
      </c>
      <c r="F43" s="68">
        <v>1</v>
      </c>
      <c r="G43" s="68">
        <v>1</v>
      </c>
      <c r="H43" s="68">
        <v>1</v>
      </c>
      <c r="I43" s="68">
        <v>1</v>
      </c>
      <c r="J43" s="68">
        <v>1</v>
      </c>
      <c r="K43" s="68">
        <v>1</v>
      </c>
      <c r="L43" s="68">
        <v>1</v>
      </c>
      <c r="M43" s="68">
        <v>1</v>
      </c>
      <c r="N43" s="77"/>
      <c r="O43" s="31">
        <v>1</v>
      </c>
    </row>
    <row r="44" spans="1:15" ht="19.5" thickBot="1">
      <c r="A44" s="69" t="s">
        <v>81</v>
      </c>
      <c r="B44" s="70" t="s">
        <v>193</v>
      </c>
      <c r="C44" s="68" t="s">
        <v>59</v>
      </c>
      <c r="D44" s="68"/>
      <c r="E44" s="68" t="s">
        <v>59</v>
      </c>
      <c r="F44" s="68" t="s">
        <v>59</v>
      </c>
      <c r="G44" s="68" t="s">
        <v>59</v>
      </c>
      <c r="H44" s="68" t="s">
        <v>59</v>
      </c>
      <c r="I44" s="68" t="s">
        <v>59</v>
      </c>
      <c r="J44" s="68" t="s">
        <v>59</v>
      </c>
      <c r="K44" s="68" t="s">
        <v>59</v>
      </c>
      <c r="L44" s="68" t="s">
        <v>59</v>
      </c>
      <c r="M44" s="68" t="s">
        <v>59</v>
      </c>
      <c r="N44" s="77"/>
      <c r="O44" s="31" t="s">
        <v>59</v>
      </c>
    </row>
    <row r="45" spans="1:15" ht="18.75">
      <c r="A45" s="84" t="s">
        <v>194</v>
      </c>
      <c r="B45" s="84"/>
      <c r="C45" s="72">
        <v>50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85"/>
    </row>
    <row r="46" spans="1:15" ht="16.5">
      <c r="A46" s="3" t="s">
        <v>82</v>
      </c>
      <c r="B46" s="4"/>
      <c r="C46" s="5" t="s">
        <v>83</v>
      </c>
      <c r="D46" s="5"/>
      <c r="E46" s="6" t="s">
        <v>84</v>
      </c>
      <c r="F46" s="5" t="s">
        <v>83</v>
      </c>
      <c r="G46" s="5" t="s">
        <v>83</v>
      </c>
      <c r="H46" s="5" t="s">
        <v>83</v>
      </c>
      <c r="I46" s="5" t="s">
        <v>83</v>
      </c>
      <c r="J46" s="5" t="s">
        <v>83</v>
      </c>
      <c r="K46" s="5" t="s">
        <v>83</v>
      </c>
      <c r="L46" s="5" t="s">
        <v>83</v>
      </c>
      <c r="M46" s="5" t="s">
        <v>83</v>
      </c>
      <c r="N46" s="78"/>
    </row>
    <row r="47" spans="1:15" ht="17.100000000000001" customHeight="1">
      <c r="A47" s="3" t="s">
        <v>85</v>
      </c>
      <c r="B47" s="4"/>
      <c r="C47" s="7">
        <v>23</v>
      </c>
      <c r="D47" s="7"/>
      <c r="E47" s="8">
        <v>28</v>
      </c>
      <c r="F47" s="7">
        <v>23</v>
      </c>
      <c r="G47" s="7">
        <v>15</v>
      </c>
      <c r="H47" s="7">
        <v>33</v>
      </c>
      <c r="I47" s="7">
        <v>42</v>
      </c>
      <c r="J47" s="7">
        <v>56</v>
      </c>
      <c r="K47" s="7">
        <v>28</v>
      </c>
      <c r="L47" s="7">
        <v>48</v>
      </c>
      <c r="M47" s="7">
        <v>34</v>
      </c>
      <c r="N47" s="78"/>
    </row>
    <row r="48" spans="1:15" ht="30.95" customHeight="1">
      <c r="A48" s="3" t="s">
        <v>86</v>
      </c>
      <c r="B48" s="3"/>
      <c r="C48" s="9">
        <v>18218</v>
      </c>
      <c r="D48" s="9"/>
      <c r="E48" s="9">
        <v>22345</v>
      </c>
      <c r="F48" s="9">
        <v>13694</v>
      </c>
      <c r="G48" s="9">
        <v>8693</v>
      </c>
      <c r="H48" s="9">
        <v>17112</v>
      </c>
      <c r="I48" s="9">
        <v>17604</v>
      </c>
      <c r="J48" s="9">
        <v>48174</v>
      </c>
      <c r="K48" s="9">
        <v>14715</v>
      </c>
      <c r="L48" s="9">
        <v>20915</v>
      </c>
      <c r="M48" s="9">
        <v>19321</v>
      </c>
      <c r="N48" s="79"/>
    </row>
    <row r="49" spans="1:16">
      <c r="A49" s="3"/>
      <c r="B49" s="3">
        <v>1</v>
      </c>
      <c r="C49" s="10">
        <v>43913</v>
      </c>
      <c r="D49" s="80"/>
      <c r="E49" s="11">
        <v>43912</v>
      </c>
      <c r="F49" s="10">
        <v>43913</v>
      </c>
      <c r="G49" s="10">
        <v>43913</v>
      </c>
      <c r="H49" s="10">
        <v>43913</v>
      </c>
      <c r="I49" s="10">
        <v>43913</v>
      </c>
      <c r="J49" s="10">
        <v>43913</v>
      </c>
      <c r="K49" s="10">
        <v>43913</v>
      </c>
      <c r="L49" s="10">
        <v>43913</v>
      </c>
      <c r="M49" s="10">
        <v>43913</v>
      </c>
      <c r="N49" s="80"/>
    </row>
    <row r="50" spans="1:16" ht="18.75">
      <c r="A50" s="3" t="s">
        <v>87</v>
      </c>
      <c r="B50" s="12">
        <v>1</v>
      </c>
      <c r="C50" s="13">
        <v>0.36</v>
      </c>
      <c r="D50" s="13"/>
      <c r="E50" s="13">
        <v>0.36</v>
      </c>
      <c r="F50" s="13">
        <v>0.31</v>
      </c>
      <c r="G50" s="13">
        <v>0.2</v>
      </c>
      <c r="H50" s="13">
        <v>0.2</v>
      </c>
      <c r="I50" s="13">
        <v>0.2</v>
      </c>
      <c r="J50" s="13">
        <v>0.18</v>
      </c>
      <c r="K50" s="13">
        <v>0.18</v>
      </c>
      <c r="L50" s="13">
        <v>0.22</v>
      </c>
      <c r="M50" s="13">
        <v>0.22</v>
      </c>
      <c r="N50" s="81"/>
    </row>
    <row r="51" spans="1:16" ht="18.75">
      <c r="A51" s="3" t="s">
        <v>88</v>
      </c>
      <c r="B51" s="3"/>
      <c r="C51" s="14">
        <f t="shared" ref="C51:M51" si="0">+C48/C47</f>
        <v>792.08695652173913</v>
      </c>
      <c r="D51" s="14"/>
      <c r="E51" s="14">
        <f t="shared" si="0"/>
        <v>798.03571428571433</v>
      </c>
      <c r="F51" s="14">
        <f t="shared" si="0"/>
        <v>595.39130434782612</v>
      </c>
      <c r="G51" s="14">
        <f t="shared" si="0"/>
        <v>579.5333333333333</v>
      </c>
      <c r="H51" s="14">
        <f t="shared" si="0"/>
        <v>518.5454545454545</v>
      </c>
      <c r="I51" s="14">
        <f t="shared" si="0"/>
        <v>419.14285714285717</v>
      </c>
      <c r="J51" s="14">
        <f t="shared" si="0"/>
        <v>860.25</v>
      </c>
      <c r="K51" s="14">
        <f t="shared" si="0"/>
        <v>525.53571428571433</v>
      </c>
      <c r="L51" s="14">
        <f t="shared" si="0"/>
        <v>435.72916666666669</v>
      </c>
      <c r="M51" s="14">
        <f t="shared" si="0"/>
        <v>568.26470588235293</v>
      </c>
      <c r="N51" s="82"/>
    </row>
    <row r="52" spans="1:16">
      <c r="A52" s="3" t="s">
        <v>89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6">
      <c r="A53" s="3"/>
      <c r="B53" s="15"/>
      <c r="C53" s="3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6" ht="18.75">
      <c r="A54" s="16" t="s">
        <v>91</v>
      </c>
      <c r="B54" s="17">
        <v>0.1</v>
      </c>
      <c r="C54" s="18">
        <f t="shared" ref="C54:M63" si="1">+C$50*$B54</f>
        <v>3.5999999999999997E-2</v>
      </c>
      <c r="D54" s="18"/>
      <c r="E54" s="18">
        <f t="shared" si="1"/>
        <v>3.5999999999999997E-2</v>
      </c>
      <c r="F54" s="18">
        <f t="shared" si="1"/>
        <v>3.1E-2</v>
      </c>
      <c r="G54" s="18">
        <f t="shared" si="1"/>
        <v>2.0000000000000004E-2</v>
      </c>
      <c r="H54" s="18">
        <f t="shared" si="1"/>
        <v>2.0000000000000004E-2</v>
      </c>
      <c r="I54" s="18">
        <f t="shared" si="1"/>
        <v>2.0000000000000004E-2</v>
      </c>
      <c r="J54" s="18">
        <f t="shared" si="1"/>
        <v>1.7999999999999999E-2</v>
      </c>
      <c r="K54" s="18">
        <f>+K$50*$B54</f>
        <v>1.7999999999999999E-2</v>
      </c>
      <c r="L54" s="18">
        <f t="shared" si="1"/>
        <v>2.2000000000000002E-2</v>
      </c>
      <c r="M54" s="18">
        <f t="shared" si="1"/>
        <v>2.2000000000000002E-2</v>
      </c>
      <c r="N54" s="81"/>
      <c r="O54" t="s">
        <v>183</v>
      </c>
      <c r="P54">
        <v>0.18</v>
      </c>
    </row>
    <row r="55" spans="1:16" ht="18.75">
      <c r="A55" s="3"/>
      <c r="B55" s="19">
        <v>0.2</v>
      </c>
      <c r="C55" s="20">
        <f t="shared" si="1"/>
        <v>7.1999999999999995E-2</v>
      </c>
      <c r="D55" s="20"/>
      <c r="E55" s="20">
        <f t="shared" si="1"/>
        <v>7.1999999999999995E-2</v>
      </c>
      <c r="F55" s="20">
        <f t="shared" si="1"/>
        <v>6.2E-2</v>
      </c>
      <c r="G55" s="20">
        <f t="shared" si="1"/>
        <v>4.0000000000000008E-2</v>
      </c>
      <c r="H55" s="20">
        <f t="shared" si="1"/>
        <v>4.0000000000000008E-2</v>
      </c>
      <c r="I55" s="20">
        <f t="shared" si="1"/>
        <v>4.0000000000000008E-2</v>
      </c>
      <c r="J55" s="20">
        <f t="shared" si="1"/>
        <v>3.5999999999999997E-2</v>
      </c>
      <c r="K55" s="20">
        <f t="shared" si="1"/>
        <v>3.5999999999999997E-2</v>
      </c>
      <c r="L55" s="20">
        <f t="shared" si="1"/>
        <v>4.4000000000000004E-2</v>
      </c>
      <c r="M55" s="20">
        <f t="shared" si="1"/>
        <v>4.4000000000000004E-2</v>
      </c>
      <c r="N55" s="83"/>
    </row>
    <row r="56" spans="1:16" ht="18.75">
      <c r="A56" s="3"/>
      <c r="B56" s="17">
        <v>0.3</v>
      </c>
      <c r="C56" s="18">
        <f t="shared" si="1"/>
        <v>0.108</v>
      </c>
      <c r="D56" s="18"/>
      <c r="E56" s="18">
        <f t="shared" si="1"/>
        <v>0.108</v>
      </c>
      <c r="F56" s="18">
        <f t="shared" si="1"/>
        <v>9.2999999999999999E-2</v>
      </c>
      <c r="G56" s="18">
        <f t="shared" si="1"/>
        <v>0.06</v>
      </c>
      <c r="H56" s="18">
        <f t="shared" si="1"/>
        <v>0.06</v>
      </c>
      <c r="I56" s="18">
        <f t="shared" si="1"/>
        <v>0.06</v>
      </c>
      <c r="J56" s="18">
        <f t="shared" si="1"/>
        <v>5.3999999999999999E-2</v>
      </c>
      <c r="K56" s="18">
        <f t="shared" si="1"/>
        <v>5.3999999999999999E-2</v>
      </c>
      <c r="L56" s="18">
        <f t="shared" si="1"/>
        <v>6.6000000000000003E-2</v>
      </c>
      <c r="M56" s="18">
        <f t="shared" si="1"/>
        <v>6.6000000000000003E-2</v>
      </c>
      <c r="N56" s="81"/>
    </row>
    <row r="57" spans="1:16" ht="18.75">
      <c r="A57" s="3"/>
      <c r="B57" s="19">
        <v>0.4</v>
      </c>
      <c r="C57" s="20">
        <f t="shared" si="1"/>
        <v>0.14399999999999999</v>
      </c>
      <c r="D57" s="20"/>
      <c r="E57" s="20">
        <f t="shared" si="1"/>
        <v>0.14399999999999999</v>
      </c>
      <c r="F57" s="20">
        <f t="shared" si="1"/>
        <v>0.124</v>
      </c>
      <c r="G57" s="20">
        <f t="shared" si="1"/>
        <v>8.0000000000000016E-2</v>
      </c>
      <c r="H57" s="20">
        <f t="shared" si="1"/>
        <v>8.0000000000000016E-2</v>
      </c>
      <c r="I57" s="20">
        <f t="shared" si="1"/>
        <v>8.0000000000000016E-2</v>
      </c>
      <c r="J57" s="20">
        <f t="shared" si="1"/>
        <v>7.1999999999999995E-2</v>
      </c>
      <c r="K57" s="20">
        <f t="shared" si="1"/>
        <v>7.1999999999999995E-2</v>
      </c>
      <c r="L57" s="20">
        <f t="shared" si="1"/>
        <v>8.8000000000000009E-2</v>
      </c>
      <c r="M57" s="20">
        <f t="shared" si="1"/>
        <v>8.8000000000000009E-2</v>
      </c>
      <c r="N57" s="83"/>
    </row>
    <row r="58" spans="1:16" ht="18.75">
      <c r="A58" s="3"/>
      <c r="B58" s="17">
        <v>0.5</v>
      </c>
      <c r="C58" s="18">
        <f t="shared" si="1"/>
        <v>0.18</v>
      </c>
      <c r="D58" s="18"/>
      <c r="E58" s="18">
        <f t="shared" si="1"/>
        <v>0.18</v>
      </c>
      <c r="F58" s="18">
        <f t="shared" si="1"/>
        <v>0.155</v>
      </c>
      <c r="G58" s="18">
        <f t="shared" si="1"/>
        <v>0.1</v>
      </c>
      <c r="H58" s="18">
        <f t="shared" si="1"/>
        <v>0.1</v>
      </c>
      <c r="I58" s="18">
        <f t="shared" si="1"/>
        <v>0.1</v>
      </c>
      <c r="J58" s="18">
        <f t="shared" si="1"/>
        <v>0.09</v>
      </c>
      <c r="K58" s="18">
        <f t="shared" si="1"/>
        <v>0.09</v>
      </c>
      <c r="L58" s="18">
        <f t="shared" si="1"/>
        <v>0.11</v>
      </c>
      <c r="M58" s="18">
        <f>+M$50*$B58</f>
        <v>0.11</v>
      </c>
      <c r="N58" s="81"/>
    </row>
    <row r="59" spans="1:16" ht="18.75">
      <c r="A59" s="3"/>
      <c r="B59" s="19">
        <v>0.6</v>
      </c>
      <c r="C59" s="20">
        <f t="shared" si="1"/>
        <v>0.216</v>
      </c>
      <c r="D59" s="20"/>
      <c r="E59" s="20">
        <f t="shared" si="1"/>
        <v>0.216</v>
      </c>
      <c r="F59" s="20">
        <f t="shared" si="1"/>
        <v>0.186</v>
      </c>
      <c r="G59" s="20">
        <f t="shared" si="1"/>
        <v>0.12</v>
      </c>
      <c r="H59" s="20">
        <f t="shared" si="1"/>
        <v>0.12</v>
      </c>
      <c r="I59" s="20">
        <f t="shared" si="1"/>
        <v>0.12</v>
      </c>
      <c r="J59" s="20">
        <f t="shared" si="1"/>
        <v>0.108</v>
      </c>
      <c r="K59" s="20">
        <f t="shared" si="1"/>
        <v>0.108</v>
      </c>
      <c r="L59" s="20">
        <f t="shared" si="1"/>
        <v>0.13200000000000001</v>
      </c>
      <c r="M59" s="20">
        <f t="shared" si="1"/>
        <v>0.13200000000000001</v>
      </c>
      <c r="N59" s="83"/>
    </row>
    <row r="60" spans="1:16" ht="18.75">
      <c r="A60" s="3"/>
      <c r="B60" s="17">
        <v>0.7</v>
      </c>
      <c r="C60" s="18">
        <f t="shared" si="1"/>
        <v>0.252</v>
      </c>
      <c r="D60" s="18"/>
      <c r="E60" s="18">
        <f t="shared" si="1"/>
        <v>0.252</v>
      </c>
      <c r="F60" s="18">
        <f t="shared" si="1"/>
        <v>0.217</v>
      </c>
      <c r="G60" s="18">
        <f t="shared" si="1"/>
        <v>0.13999999999999999</v>
      </c>
      <c r="H60" s="18">
        <f t="shared" si="1"/>
        <v>0.13999999999999999</v>
      </c>
      <c r="I60" s="18">
        <f t="shared" si="1"/>
        <v>0.13999999999999999</v>
      </c>
      <c r="J60" s="18">
        <f t="shared" si="1"/>
        <v>0.126</v>
      </c>
      <c r="K60" s="18">
        <f t="shared" si="1"/>
        <v>0.126</v>
      </c>
      <c r="L60" s="18">
        <f t="shared" si="1"/>
        <v>0.154</v>
      </c>
      <c r="M60" s="18">
        <f t="shared" si="1"/>
        <v>0.154</v>
      </c>
      <c r="N60" s="81"/>
    </row>
    <row r="61" spans="1:16" ht="18.75">
      <c r="A61" s="3"/>
      <c r="B61" s="19">
        <v>0.8</v>
      </c>
      <c r="C61" s="20">
        <f t="shared" si="1"/>
        <v>0.28799999999999998</v>
      </c>
      <c r="D61" s="20"/>
      <c r="E61" s="20">
        <f t="shared" si="1"/>
        <v>0.28799999999999998</v>
      </c>
      <c r="F61" s="20">
        <f t="shared" si="1"/>
        <v>0.248</v>
      </c>
      <c r="G61" s="20">
        <f t="shared" si="1"/>
        <v>0.16000000000000003</v>
      </c>
      <c r="H61" s="20">
        <f t="shared" si="1"/>
        <v>0.16000000000000003</v>
      </c>
      <c r="I61" s="20">
        <f t="shared" si="1"/>
        <v>0.16000000000000003</v>
      </c>
      <c r="J61" s="20">
        <f t="shared" si="1"/>
        <v>0.14399999999999999</v>
      </c>
      <c r="K61" s="20">
        <f t="shared" si="1"/>
        <v>0.14399999999999999</v>
      </c>
      <c r="L61" s="20">
        <f t="shared" si="1"/>
        <v>0.17600000000000002</v>
      </c>
      <c r="M61" s="20">
        <f t="shared" si="1"/>
        <v>0.17600000000000002</v>
      </c>
      <c r="N61" s="83"/>
    </row>
    <row r="62" spans="1:16" ht="18.75">
      <c r="A62" s="3"/>
      <c r="B62" s="17">
        <v>0.9</v>
      </c>
      <c r="C62" s="18">
        <f t="shared" si="1"/>
        <v>0.32400000000000001</v>
      </c>
      <c r="D62" s="18"/>
      <c r="E62" s="18">
        <f t="shared" si="1"/>
        <v>0.32400000000000001</v>
      </c>
      <c r="F62" s="18">
        <f t="shared" si="1"/>
        <v>0.27900000000000003</v>
      </c>
      <c r="G62" s="18">
        <f t="shared" si="1"/>
        <v>0.18000000000000002</v>
      </c>
      <c r="H62" s="18">
        <f t="shared" si="1"/>
        <v>0.18000000000000002</v>
      </c>
      <c r="I62" s="18">
        <f t="shared" si="1"/>
        <v>0.18000000000000002</v>
      </c>
      <c r="J62" s="18">
        <f t="shared" si="1"/>
        <v>0.16200000000000001</v>
      </c>
      <c r="K62" s="18">
        <f t="shared" si="1"/>
        <v>0.16200000000000001</v>
      </c>
      <c r="L62" s="18">
        <f t="shared" si="1"/>
        <v>0.19800000000000001</v>
      </c>
      <c r="M62" s="18">
        <f t="shared" si="1"/>
        <v>0.19800000000000001</v>
      </c>
      <c r="N62" s="81"/>
    </row>
    <row r="63" spans="1:16" ht="18.75">
      <c r="A63" s="16" t="s">
        <v>92</v>
      </c>
      <c r="B63" s="19">
        <v>1</v>
      </c>
      <c r="C63" s="20">
        <f t="shared" si="1"/>
        <v>0.36</v>
      </c>
      <c r="D63" s="20"/>
      <c r="E63" s="20">
        <f t="shared" si="1"/>
        <v>0.36</v>
      </c>
      <c r="F63" s="20">
        <f t="shared" si="1"/>
        <v>0.31</v>
      </c>
      <c r="G63" s="20">
        <f t="shared" si="1"/>
        <v>0.2</v>
      </c>
      <c r="H63" s="20">
        <f t="shared" si="1"/>
        <v>0.2</v>
      </c>
      <c r="I63" s="20">
        <f t="shared" si="1"/>
        <v>0.2</v>
      </c>
      <c r="J63" s="20">
        <f t="shared" si="1"/>
        <v>0.18</v>
      </c>
      <c r="K63" s="20">
        <f t="shared" si="1"/>
        <v>0.18</v>
      </c>
      <c r="L63" s="20">
        <f t="shared" si="1"/>
        <v>0.22</v>
      </c>
      <c r="M63" s="20">
        <f t="shared" si="1"/>
        <v>0.22</v>
      </c>
      <c r="N63" s="83"/>
    </row>
    <row r="64" spans="1:16">
      <c r="E64" s="1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9E94-C7AF-4BC7-B081-2ABCD5679DFE}">
  <dimension ref="A1"/>
  <sheetViews>
    <sheetView workbookViewId="0">
      <selection activeCell="A2" sqref="A2"/>
    </sheetView>
  </sheetViews>
  <sheetFormatPr defaultRowHeight="15"/>
  <cols>
    <col min="1" max="1" width="13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zoomScaleNormal="100" workbookViewId="0">
      <selection activeCell="B4" activeCellId="1" sqref="A45:L62 B4"/>
    </sheetView>
  </sheetViews>
  <sheetFormatPr defaultColWidth="8.7109375" defaultRowHeight="15"/>
  <sheetData>
    <row r="2" spans="2:2">
      <c r="B2" t="s">
        <v>93</v>
      </c>
    </row>
    <row r="3" spans="2:2">
      <c r="B3" t="s">
        <v>94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4"/>
  <sheetViews>
    <sheetView zoomScaleNormal="100" workbookViewId="0">
      <selection activeCell="B5" activeCellId="1" sqref="A45:L62 B5"/>
    </sheetView>
  </sheetViews>
  <sheetFormatPr defaultColWidth="8.7109375" defaultRowHeight="15"/>
  <sheetData>
    <row r="2" spans="2:2">
      <c r="B2" t="s">
        <v>48</v>
      </c>
    </row>
    <row r="3" spans="2:2">
      <c r="B3" t="s">
        <v>95</v>
      </c>
    </row>
    <row r="4" spans="2:2">
      <c r="B4" t="s">
        <v>96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22"/>
  <sheetViews>
    <sheetView zoomScaleNormal="100" workbookViewId="0">
      <selection activeCell="B16" sqref="B16"/>
    </sheetView>
  </sheetViews>
  <sheetFormatPr defaultColWidth="8.7109375" defaultRowHeight="15"/>
  <sheetData>
    <row r="2" spans="2:2">
      <c r="B2" t="s">
        <v>97</v>
      </c>
    </row>
    <row r="3" spans="2:2">
      <c r="B3" t="s">
        <v>98</v>
      </c>
    </row>
    <row r="4" spans="2:2">
      <c r="B4" t="s">
        <v>99</v>
      </c>
    </row>
    <row r="5" spans="2:2">
      <c r="B5" t="s">
        <v>100</v>
      </c>
    </row>
    <row r="6" spans="2:2">
      <c r="B6" t="s">
        <v>101</v>
      </c>
    </row>
    <row r="7" spans="2:2">
      <c r="B7" t="s">
        <v>102</v>
      </c>
    </row>
    <row r="8" spans="2:2">
      <c r="B8" t="s">
        <v>103</v>
      </c>
    </row>
    <row r="9" spans="2:2">
      <c r="B9" t="s">
        <v>104</v>
      </c>
    </row>
    <row r="10" spans="2:2">
      <c r="B10" t="s">
        <v>105</v>
      </c>
    </row>
    <row r="11" spans="2:2">
      <c r="B11" t="s">
        <v>106</v>
      </c>
    </row>
    <row r="12" spans="2:2">
      <c r="B12" t="s">
        <v>107</v>
      </c>
    </row>
    <row r="13" spans="2:2">
      <c r="B13" t="s">
        <v>108</v>
      </c>
    </row>
    <row r="14" spans="2:2">
      <c r="B14" t="s">
        <v>109</v>
      </c>
    </row>
    <row r="15" spans="2:2">
      <c r="B15" t="s">
        <v>110</v>
      </c>
    </row>
    <row r="16" spans="2:2">
      <c r="B16" t="s">
        <v>111</v>
      </c>
    </row>
    <row r="17" spans="2:2">
      <c r="B17" t="s">
        <v>112</v>
      </c>
    </row>
    <row r="18" spans="2:2">
      <c r="B18" t="s">
        <v>113</v>
      </c>
    </row>
    <row r="19" spans="2:2">
      <c r="B19" t="s">
        <v>114</v>
      </c>
    </row>
    <row r="20" spans="2:2">
      <c r="B20" t="s">
        <v>115</v>
      </c>
    </row>
    <row r="21" spans="2:2">
      <c r="B21" t="s">
        <v>116</v>
      </c>
    </row>
    <row r="22" spans="2:2">
      <c r="B22" t="s">
        <v>117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75"/>
  <sheetViews>
    <sheetView zoomScaleNormal="100" workbookViewId="0">
      <selection activeCell="I78" activeCellId="1" sqref="A45:L62 I78"/>
    </sheetView>
  </sheetViews>
  <sheetFormatPr defaultColWidth="8.7109375" defaultRowHeight="15"/>
  <sheetData>
    <row r="2" spans="2:2">
      <c r="B2" t="s">
        <v>118</v>
      </c>
    </row>
    <row r="3" spans="2:2">
      <c r="B3" t="s">
        <v>119</v>
      </c>
    </row>
    <row r="4" spans="2:2">
      <c r="B4" t="s">
        <v>120</v>
      </c>
    </row>
    <row r="5" spans="2:2">
      <c r="B5" t="s">
        <v>121</v>
      </c>
    </row>
    <row r="6" spans="2:2">
      <c r="B6" t="s">
        <v>122</v>
      </c>
    </row>
    <row r="7" spans="2:2">
      <c r="B7" t="s">
        <v>12</v>
      </c>
    </row>
    <row r="8" spans="2:2">
      <c r="B8" t="s">
        <v>123</v>
      </c>
    </row>
    <row r="9" spans="2:2">
      <c r="B9" t="s">
        <v>124</v>
      </c>
    </row>
    <row r="10" spans="2:2">
      <c r="B10" t="s">
        <v>13</v>
      </c>
    </row>
    <row r="11" spans="2:2">
      <c r="B11" t="s">
        <v>125</v>
      </c>
    </row>
    <row r="12" spans="2:2">
      <c r="B12" t="s">
        <v>126</v>
      </c>
    </row>
    <row r="13" spans="2:2">
      <c r="B13" t="s">
        <v>127</v>
      </c>
    </row>
    <row r="14" spans="2:2">
      <c r="B14" t="s">
        <v>128</v>
      </c>
    </row>
    <row r="15" spans="2:2">
      <c r="B15" t="s">
        <v>129</v>
      </c>
    </row>
    <row r="16" spans="2:2">
      <c r="B16" t="s">
        <v>130</v>
      </c>
    </row>
    <row r="17" spans="2:2">
      <c r="B17" t="s">
        <v>131</v>
      </c>
    </row>
    <row r="18" spans="2:2">
      <c r="B18" t="s">
        <v>132</v>
      </c>
    </row>
    <row r="19" spans="2:2">
      <c r="B19" t="s">
        <v>133</v>
      </c>
    </row>
    <row r="20" spans="2:2">
      <c r="B20" t="s">
        <v>14</v>
      </c>
    </row>
    <row r="21" spans="2:2">
      <c r="B21" t="s">
        <v>134</v>
      </c>
    </row>
    <row r="22" spans="2:2">
      <c r="B22" t="s">
        <v>135</v>
      </c>
    </row>
    <row r="23" spans="2:2">
      <c r="B23" t="s">
        <v>15</v>
      </c>
    </row>
    <row r="24" spans="2:2">
      <c r="B24" t="s">
        <v>136</v>
      </c>
    </row>
    <row r="25" spans="2:2">
      <c r="B25" t="s">
        <v>137</v>
      </c>
    </row>
    <row r="26" spans="2:2">
      <c r="B26" t="s">
        <v>138</v>
      </c>
    </row>
    <row r="27" spans="2:2">
      <c r="B27" t="s">
        <v>139</v>
      </c>
    </row>
    <row r="28" spans="2:2">
      <c r="B28" t="s">
        <v>140</v>
      </c>
    </row>
    <row r="29" spans="2:2">
      <c r="B29" t="s">
        <v>141</v>
      </c>
    </row>
    <row r="30" spans="2:2">
      <c r="B30" t="s">
        <v>142</v>
      </c>
    </row>
    <row r="31" spans="2:2">
      <c r="B31" t="s">
        <v>143</v>
      </c>
    </row>
    <row r="32" spans="2:2">
      <c r="B32" t="s">
        <v>144</v>
      </c>
    </row>
    <row r="33" spans="2:2">
      <c r="B33" t="s">
        <v>16</v>
      </c>
    </row>
    <row r="34" spans="2:2">
      <c r="B34" t="s">
        <v>145</v>
      </c>
    </row>
    <row r="35" spans="2:2">
      <c r="B35" t="s">
        <v>146</v>
      </c>
    </row>
    <row r="36" spans="2:2">
      <c r="B36" t="s">
        <v>147</v>
      </c>
    </row>
    <row r="37" spans="2:2">
      <c r="B37" t="s">
        <v>148</v>
      </c>
    </row>
    <row r="38" spans="2:2">
      <c r="B38" t="s">
        <v>17</v>
      </c>
    </row>
    <row r="39" spans="2:2">
      <c r="B39" t="s">
        <v>149</v>
      </c>
    </row>
    <row r="40" spans="2:2">
      <c r="B40" t="s">
        <v>18</v>
      </c>
    </row>
    <row r="41" spans="2:2">
      <c r="B41" t="s">
        <v>150</v>
      </c>
    </row>
    <row r="42" spans="2:2">
      <c r="B42" t="s">
        <v>151</v>
      </c>
    </row>
    <row r="43" spans="2:2">
      <c r="B43" t="s">
        <v>152</v>
      </c>
    </row>
    <row r="44" spans="2:2">
      <c r="B44" t="s">
        <v>153</v>
      </c>
    </row>
    <row r="45" spans="2:2">
      <c r="B45" t="s">
        <v>154</v>
      </c>
    </row>
    <row r="46" spans="2:2">
      <c r="B46" t="s">
        <v>155</v>
      </c>
    </row>
    <row r="47" spans="2:2">
      <c r="B47" t="s">
        <v>156</v>
      </c>
    </row>
    <row r="48" spans="2:2">
      <c r="B48" t="s">
        <v>157</v>
      </c>
    </row>
    <row r="49" spans="2:2">
      <c r="B49" t="s">
        <v>158</v>
      </c>
    </row>
    <row r="50" spans="2:2">
      <c r="B50" t="s">
        <v>159</v>
      </c>
    </row>
    <row r="51" spans="2:2">
      <c r="B51" t="s">
        <v>19</v>
      </c>
    </row>
    <row r="52" spans="2:2">
      <c r="B52" t="s">
        <v>160</v>
      </c>
    </row>
    <row r="53" spans="2:2">
      <c r="B53" t="s">
        <v>161</v>
      </c>
    </row>
    <row r="54" spans="2:2">
      <c r="B54" t="s">
        <v>162</v>
      </c>
    </row>
    <row r="55" spans="2:2">
      <c r="B55" t="s">
        <v>163</v>
      </c>
    </row>
    <row r="56" spans="2:2">
      <c r="B56" t="s">
        <v>164</v>
      </c>
    </row>
    <row r="57" spans="2:2">
      <c r="B57" t="s">
        <v>165</v>
      </c>
    </row>
    <row r="58" spans="2:2">
      <c r="B58" t="s">
        <v>166</v>
      </c>
    </row>
    <row r="59" spans="2:2">
      <c r="B59" t="s">
        <v>20</v>
      </c>
    </row>
    <row r="60" spans="2:2">
      <c r="B60" t="s">
        <v>167</v>
      </c>
    </row>
    <row r="61" spans="2:2">
      <c r="B61" t="s">
        <v>168</v>
      </c>
    </row>
    <row r="62" spans="2:2">
      <c r="B62" t="s">
        <v>169</v>
      </c>
    </row>
    <row r="63" spans="2:2">
      <c r="B63" t="s">
        <v>170</v>
      </c>
    </row>
    <row r="64" spans="2:2">
      <c r="B64" t="s">
        <v>171</v>
      </c>
    </row>
    <row r="65" spans="2:2">
      <c r="B65" t="s">
        <v>172</v>
      </c>
    </row>
    <row r="66" spans="2:2">
      <c r="B66" t="s">
        <v>173</v>
      </c>
    </row>
    <row r="67" spans="2:2">
      <c r="B67" t="s">
        <v>174</v>
      </c>
    </row>
    <row r="68" spans="2:2">
      <c r="B68" t="s">
        <v>175</v>
      </c>
    </row>
    <row r="69" spans="2:2">
      <c r="B69" t="s">
        <v>176</v>
      </c>
    </row>
    <row r="70" spans="2:2">
      <c r="B70" t="s">
        <v>177</v>
      </c>
    </row>
    <row r="71" spans="2:2">
      <c r="B71" t="s">
        <v>178</v>
      </c>
    </row>
    <row r="72" spans="2:2">
      <c r="B72" t="s">
        <v>179</v>
      </c>
    </row>
    <row r="73" spans="2:2">
      <c r="B73" t="s">
        <v>180</v>
      </c>
    </row>
    <row r="74" spans="2:2">
      <c r="B74" t="s">
        <v>181</v>
      </c>
    </row>
    <row r="75" spans="2:2">
      <c r="B75" t="s">
        <v>182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MASTER</vt:lpstr>
      <vt:lpstr>Foglio1</vt:lpstr>
      <vt:lpstr>Boolean</vt:lpstr>
      <vt:lpstr>StategyType</vt:lpstr>
      <vt:lpstr>Period</vt:lpstr>
      <vt:lpstr>Istruments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Rubert</dc:creator>
  <dc:description/>
  <cp:lastModifiedBy>Francesco Rubert</cp:lastModifiedBy>
  <cp:revision>16</cp:revision>
  <dcterms:created xsi:type="dcterms:W3CDTF">2019-09-09T19:50:27Z</dcterms:created>
  <dcterms:modified xsi:type="dcterms:W3CDTF">2020-10-01T20:26:17Z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