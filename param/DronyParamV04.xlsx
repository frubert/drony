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voro\ARDUINO\Drony4_series\drony04_2\param\"/>
    </mc:Choice>
  </mc:AlternateContent>
  <xr:revisionPtr revIDLastSave="0" documentId="13_ncr:1_{D8CDCDC2-A3CE-46F5-BBFA-02DB05084055}" xr6:coauthVersionLast="45" xr6:coauthVersionMax="45" xr10:uidLastSave="{00000000-0000-0000-0000-000000000000}"/>
  <bookViews>
    <workbookView xWindow="795" yWindow="780" windowWidth="19335" windowHeight="13785" tabRatio="500" xr2:uid="{00000000-000D-0000-FFFF-FFFF00000000}"/>
  </bookViews>
  <sheets>
    <sheet name="Foglio1" sheetId="6" r:id="rId1"/>
    <sheet name="MASTER" sheetId="1" r:id="rId2"/>
    <sheet name="Boolean" sheetId="2" r:id="rId3"/>
    <sheet name="StategyType" sheetId="3" r:id="rId4"/>
    <sheet name="Istruments" sheetId="5" r:id="rId5"/>
    <sheet name="Period" sheetId="4" r:id="rId6"/>
  </sheets>
  <definedNames>
    <definedName name="_xlnm.Print_Area" localSheetId="1">MASTER!$I$11</definedName>
    <definedName name="Print_Area_0_0" localSheetId="1">#REF!</definedName>
    <definedName name="Print_Area_0_0_0" localSheetId="1">#REF!</definedName>
  </definedNames>
  <calcPr calcId="181029"/>
</workbook>
</file>

<file path=xl/calcChain.xml><?xml version="1.0" encoding="utf-8"?>
<calcChain xmlns="http://schemas.openxmlformats.org/spreadsheetml/2006/main">
  <c r="C48" i="6" l="1"/>
  <c r="C55" i="1" l="1"/>
  <c r="C54" i="1"/>
  <c r="C53" i="1"/>
  <c r="F166" i="1" l="1"/>
  <c r="F165" i="1"/>
  <c r="F111" i="1"/>
  <c r="F110" i="1"/>
  <c r="F53" i="1"/>
  <c r="F52" i="1"/>
  <c r="G167" i="1"/>
  <c r="H167" i="1" s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G112" i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AM54" i="1"/>
  <c r="AN54" i="1" s="1"/>
  <c r="AD54" i="1"/>
  <c r="AE54" i="1" s="1"/>
  <c r="AF54" i="1" s="1"/>
  <c r="AG54" i="1" s="1"/>
  <c r="AH54" i="1" s="1"/>
  <c r="AI54" i="1" s="1"/>
  <c r="AJ54" i="1" s="1"/>
  <c r="AK54" i="1" s="1"/>
  <c r="AA54" i="1"/>
  <c r="J54" i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H54" i="1"/>
  <c r="F54" i="1"/>
  <c r="AN53" i="1"/>
  <c r="AM53" i="1"/>
  <c r="AK53" i="1"/>
  <c r="AJ53" i="1"/>
  <c r="AI53" i="1"/>
  <c r="AH53" i="1"/>
  <c r="AG53" i="1"/>
  <c r="AF53" i="1"/>
  <c r="AE53" i="1"/>
  <c r="AD53" i="1"/>
  <c r="AA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H53" i="1"/>
  <c r="AN52" i="1"/>
  <c r="AM52" i="1"/>
  <c r="AK52" i="1"/>
  <c r="AJ52" i="1"/>
  <c r="AI52" i="1"/>
  <c r="AH52" i="1"/>
  <c r="AG52" i="1"/>
  <c r="AF52" i="1"/>
  <c r="AE52" i="1"/>
  <c r="AD52" i="1"/>
  <c r="AA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H52" i="1"/>
  <c r="A49" i="1"/>
  <c r="A48" i="1"/>
  <c r="H13" i="1"/>
  <c r="A52" i="1" l="1"/>
</calcChain>
</file>

<file path=xl/sharedStrings.xml><?xml version="1.0" encoding="utf-8"?>
<sst xmlns="http://schemas.openxmlformats.org/spreadsheetml/2006/main" count="1224" uniqueCount="278">
  <si>
    <t>Param  V04</t>
  </si>
  <si>
    <t>test</t>
  </si>
  <si>
    <t>Name</t>
  </si>
  <si>
    <t>A02_2002</t>
  </si>
  <si>
    <t>DAX_2H4A0</t>
  </si>
  <si>
    <t>C03_2002</t>
  </si>
  <si>
    <t>E01_3003</t>
  </si>
  <si>
    <t>E03_2001</t>
  </si>
  <si>
    <t>EUR GBP 4H_210</t>
  </si>
  <si>
    <t>EUR JPY 4H_210</t>
  </si>
  <si>
    <t>EUR USD 4H_210</t>
  </si>
  <si>
    <t>GBP AUD 4H_202§</t>
  </si>
  <si>
    <t>G02_2002</t>
  </si>
  <si>
    <t>G03_2001</t>
  </si>
  <si>
    <t>GBP JPY 4H_213</t>
  </si>
  <si>
    <t>G05_2002</t>
  </si>
  <si>
    <t>USD CAD 4H_210</t>
  </si>
  <si>
    <t>USD JPY 4H_211</t>
  </si>
  <si>
    <t>G06_2000</t>
  </si>
  <si>
    <t>N01_2002</t>
  </si>
  <si>
    <t>N05_2001</t>
  </si>
  <si>
    <t>U03_2003</t>
  </si>
  <si>
    <t>G06_15A1</t>
  </si>
  <si>
    <t>G06_15A3</t>
  </si>
  <si>
    <t>G06_25A1</t>
  </si>
  <si>
    <t>G06_25A2</t>
  </si>
  <si>
    <t>G06_25A3</t>
  </si>
  <si>
    <t>G06_25A4</t>
  </si>
  <si>
    <t>G06_25A5</t>
  </si>
  <si>
    <t>G06_25A6</t>
  </si>
  <si>
    <t>G06_2M30A</t>
  </si>
  <si>
    <t>G06_2H40B</t>
  </si>
  <si>
    <t>Selected Instrument:</t>
  </si>
  <si>
    <t>EURUSD, …</t>
  </si>
  <si>
    <t>AUDCAD</t>
  </si>
  <si>
    <t xml:space="preserve"> WEEKLY</t>
  </si>
  <si>
    <t>DEUIDXEUR</t>
  </si>
  <si>
    <t>CADJPY</t>
  </si>
  <si>
    <t>EURAUD</t>
  </si>
  <si>
    <t>EURCAD</t>
  </si>
  <si>
    <t>EURGBP</t>
  </si>
  <si>
    <t>EURJPY</t>
  </si>
  <si>
    <t>EURUSD</t>
  </si>
  <si>
    <t>GBPAUD</t>
  </si>
  <si>
    <t>GBPCAD</t>
  </si>
  <si>
    <t>GBPCHF</t>
  </si>
  <si>
    <t>GBPJPY</t>
  </si>
  <si>
    <t>GBPNZD</t>
  </si>
  <si>
    <t>USDCAD</t>
  </si>
  <si>
    <t>USDJPY</t>
  </si>
  <si>
    <t>GBPUSD</t>
  </si>
  <si>
    <t>NZDCAD</t>
  </si>
  <si>
    <t>NZDUSD</t>
  </si>
  <si>
    <t>USDCHF</t>
  </si>
  <si>
    <t>selectedPeriod:</t>
  </si>
  <si>
    <t xml:space="preserve">ONE_HOUR, FOUR_HOURS, </t>
  </si>
  <si>
    <t>FOUR_HOURS</t>
  </si>
  <si>
    <t xml:space="preserve"> DAILY</t>
  </si>
  <si>
    <t>ONE_HOUR</t>
  </si>
  <si>
    <t>FIVE_MINS</t>
  </si>
  <si>
    <t>FIFTEEN_MINS</t>
  </si>
  <si>
    <t xml:space="preserve"> THIRTY_MINS</t>
  </si>
  <si>
    <t>OrderSize:</t>
  </si>
  <si>
    <t>N Bars:</t>
  </si>
  <si>
    <t>Body % Min:</t>
  </si>
  <si>
    <t>\</t>
  </si>
  <si>
    <t>Body % Max:</t>
  </si>
  <si>
    <t>Mod Min :</t>
  </si>
  <si>
    <t>Mod Max :</t>
  </si>
  <si>
    <t>Body abs Min:</t>
  </si>
  <si>
    <t>Body abs Max :</t>
  </si>
  <si>
    <t>Indent:</t>
  </si>
  <si>
    <t>Indent % Pennacchio:</t>
  </si>
  <si>
    <t>Cap Abs:</t>
  </si>
  <si>
    <t>Cap %:</t>
  </si>
  <si>
    <t>Cap attn:</t>
  </si>
  <si>
    <t>Floor abs:</t>
  </si>
  <si>
    <t>Floor %:</t>
  </si>
  <si>
    <t>Floor attn:</t>
  </si>
  <si>
    <t>Slope Min:</t>
  </si>
  <si>
    <t>Slope Max:</t>
  </si>
  <si>
    <t>Slippage:</t>
  </si>
  <si>
    <t>startTradingTime:</t>
  </si>
  <si>
    <t>endTradingTime:</t>
  </si>
  <si>
    <t>numCandlesValid;</t>
  </si>
  <si>
    <t>strategyType</t>
  </si>
  <si>
    <t>FULL, LONG, SHORT</t>
  </si>
  <si>
    <t>FULL</t>
  </si>
  <si>
    <t>numBodyShadowBars:</t>
  </si>
  <si>
    <t>N storia Barre</t>
  </si>
  <si>
    <t>minBodyShadow%</t>
  </si>
  <si>
    <t>Barre preced %</t>
  </si>
  <si>
    <t>minBodyShadow</t>
  </si>
  <si>
    <t>Barre preced ABS</t>
  </si>
  <si>
    <t>minFutureBodyShadow%</t>
  </si>
  <si>
    <t xml:space="preserve">  Barre success. %</t>
  </si>
  <si>
    <t>minFutureBodyShadow</t>
  </si>
  <si>
    <t xml:space="preserve">  Barre success ABS</t>
  </si>
  <si>
    <t>macroPL</t>
  </si>
  <si>
    <t>true, false</t>
  </si>
  <si>
    <t>FALSE</t>
  </si>
  <si>
    <t>macroPLProfit</t>
  </si>
  <si>
    <t>macroPLLoss</t>
  </si>
  <si>
    <t>numColorStoryBars</t>
  </si>
  <si>
    <t>colorStorySameBars</t>
  </si>
  <si>
    <t>Pinza monotona de/cresente</t>
  </si>
  <si>
    <t>TRUE</t>
  </si>
  <si>
    <t>Num max barre per ordine</t>
  </si>
  <si>
    <t>preventMultipleOrders</t>
  </si>
  <si>
    <t>waitNBarPinza</t>
  </si>
  <si>
    <t xml:space="preserve"> pinza in attesa</t>
  </si>
  <si>
    <t>order cluster</t>
  </si>
  <si>
    <t>CLUSTER 1</t>
  </si>
  <si>
    <t>CLUSTER 3</t>
  </si>
  <si>
    <t>CLUSTER 5</t>
  </si>
  <si>
    <t>CLUSTER 6</t>
  </si>
  <si>
    <t>CLUSTER 7</t>
  </si>
  <si>
    <t>CLUSTER 8</t>
  </si>
  <si>
    <t>CLUSTER 9</t>
  </si>
  <si>
    <t>CLUSTER 10</t>
  </si>
  <si>
    <t>CLUSTER 11</t>
  </si>
  <si>
    <t>CLUSTER 12</t>
  </si>
  <si>
    <t>CLUSTER 13</t>
  </si>
  <si>
    <t>CLUSTER 14</t>
  </si>
  <si>
    <t>CLUSTER 15</t>
  </si>
  <si>
    <t>CLUSTER 16</t>
  </si>
  <si>
    <t>CLUSTER 17</t>
  </si>
  <si>
    <t>CLUSTER 18</t>
  </si>
  <si>
    <t>CLUSTER 19</t>
  </si>
  <si>
    <t>CLUSTER 20</t>
  </si>
  <si>
    <t>order cluster priority</t>
  </si>
  <si>
    <t>FreeWeekEnd</t>
  </si>
  <si>
    <t>Close after friday at 18:00</t>
  </si>
  <si>
    <t xml:space="preserve"> 3 MESI </t>
  </si>
  <si>
    <t>Test Test Test ABC ABC BACB</t>
  </si>
  <si>
    <t>A01_2001</t>
  </si>
  <si>
    <t>A04_2001</t>
  </si>
  <si>
    <t>A06_2000</t>
  </si>
  <si>
    <t>AUDJPY</t>
  </si>
  <si>
    <t>AUDNZD</t>
  </si>
  <si>
    <t>AUDUSD</t>
  </si>
  <si>
    <t>CLUSTER 2</t>
  </si>
  <si>
    <t>CLUSTER 4</t>
  </si>
  <si>
    <t>true</t>
  </si>
  <si>
    <t>false</t>
  </si>
  <si>
    <t>LONG</t>
  </si>
  <si>
    <t>SHORT</t>
  </si>
  <si>
    <t xml:space="preserve"> TICK</t>
  </si>
  <si>
    <t xml:space="preserve"> ONE_SEC</t>
  </si>
  <si>
    <t xml:space="preserve"> TWO_SECS</t>
  </si>
  <si>
    <t xml:space="preserve"> TEN_SECS</t>
  </si>
  <si>
    <t xml:space="preserve"> TWENTY_SECS</t>
  </si>
  <si>
    <t xml:space="preserve"> THIRTY_SECS</t>
  </si>
  <si>
    <t xml:space="preserve"> ONE_MIN</t>
  </si>
  <si>
    <t xml:space="preserve"> FIVE_MINS</t>
  </si>
  <si>
    <t xml:space="preserve"> TEN_MINS</t>
  </si>
  <si>
    <t xml:space="preserve"> FIFTEEN_MINS</t>
  </si>
  <si>
    <t xml:space="preserve"> TWENTY_MINS</t>
  </si>
  <si>
    <t xml:space="preserve"> ONE_HOUR</t>
  </si>
  <si>
    <t xml:space="preserve"> FOUR_HOURS</t>
  </si>
  <si>
    <t xml:space="preserve"> DAILY_SUNDAY_IN_MONDAY</t>
  </si>
  <si>
    <t xml:space="preserve"> DAILY_SKIP_SUNDAY</t>
  </si>
  <si>
    <t xml:space="preserve"> MONTHLY</t>
  </si>
  <si>
    <t xml:space="preserve"> ONE_YEAR</t>
  </si>
  <si>
    <t xml:space="preserve"> INFINITY</t>
  </si>
  <si>
    <t xml:space="preserve">AUDCAD </t>
  </si>
  <si>
    <t>AUDCHF</t>
  </si>
  <si>
    <t>AUDSGD</t>
  </si>
  <si>
    <t>CADCHF</t>
  </si>
  <si>
    <t>HKDJPY</t>
  </si>
  <si>
    <t>CADHKD</t>
  </si>
  <si>
    <t>HUFJPY</t>
  </si>
  <si>
    <t>MXNJPY</t>
  </si>
  <si>
    <t>CHFJPY</t>
  </si>
  <si>
    <t>CHFPLN</t>
  </si>
  <si>
    <t>NZDCHF</t>
  </si>
  <si>
    <t>CHFSGD</t>
  </si>
  <si>
    <t>NZDJPY</t>
  </si>
  <si>
    <t>NZDSGD</t>
  </si>
  <si>
    <t>EURBRL</t>
  </si>
  <si>
    <t>SGDJPY</t>
  </si>
  <si>
    <t>EURCHF</t>
  </si>
  <si>
    <t>USDBRL</t>
  </si>
  <si>
    <t>EURCZK</t>
  </si>
  <si>
    <t>EURDKK</t>
  </si>
  <si>
    <t>USDCNH</t>
  </si>
  <si>
    <t>EURHKD</t>
  </si>
  <si>
    <t>USDCZK</t>
  </si>
  <si>
    <t>EURHUF</t>
  </si>
  <si>
    <t>USDDKK</t>
  </si>
  <si>
    <t>USDHKD</t>
  </si>
  <si>
    <t>EURMXN</t>
  </si>
  <si>
    <t>USDHUF</t>
  </si>
  <si>
    <t>EURNOK</t>
  </si>
  <si>
    <t>USDILS</t>
  </si>
  <si>
    <t>EURNZD</t>
  </si>
  <si>
    <t>EURPLN</t>
  </si>
  <si>
    <t>USDMXN</t>
  </si>
  <si>
    <t>EURRUB</t>
  </si>
  <si>
    <t>USDNOK</t>
  </si>
  <si>
    <t>EURSEK</t>
  </si>
  <si>
    <t>USDPLN</t>
  </si>
  <si>
    <t>EURSGD</t>
  </si>
  <si>
    <t>USDRON</t>
  </si>
  <si>
    <t>EURTHB</t>
  </si>
  <si>
    <t>USDRUB</t>
  </si>
  <si>
    <t>EURTRY</t>
  </si>
  <si>
    <t>USDSEK</t>
  </si>
  <si>
    <t>USDSGD</t>
  </si>
  <si>
    <t>EURZAR</t>
  </si>
  <si>
    <t>USDTHB</t>
  </si>
  <si>
    <t>USDTRY</t>
  </si>
  <si>
    <t>USDZAR</t>
  </si>
  <si>
    <t>ZARJPY</t>
  </si>
  <si>
    <t>TRYJPY</t>
  </si>
  <si>
    <t>XAGUSD</t>
  </si>
  <si>
    <t>XAUUSD</t>
  </si>
  <si>
    <t>BTCUSD</t>
  </si>
  <si>
    <t>ETHUSD</t>
  </si>
  <si>
    <t>A02_2002_bis</t>
  </si>
  <si>
    <t>E07_2H4AC</t>
  </si>
  <si>
    <t>USD JPY 4H_A01</t>
  </si>
  <si>
    <t>DEMO V04-1</t>
  </si>
  <si>
    <t>Note</t>
  </si>
  <si>
    <t>4.1B TEST</t>
  </si>
  <si>
    <t>Selected Period:</t>
  </si>
  <si>
    <t>%</t>
  </si>
  <si>
    <t>Indent % shadow:</t>
  </si>
  <si>
    <t>Start TradingTime:</t>
  </si>
  <si>
    <t>End   TradingTime:</t>
  </si>
  <si>
    <t>Num CandlesValid;</t>
  </si>
  <si>
    <t xml:space="preserve"> N storia Barre</t>
  </si>
  <si>
    <t xml:space="preserve"> Barre preced %</t>
  </si>
  <si>
    <t xml:space="preserve"> Barre preced ABS</t>
  </si>
  <si>
    <t xml:space="preserve"> Barre success. %</t>
  </si>
  <si>
    <t xml:space="preserve"> Barre success ABS</t>
  </si>
  <si>
    <t xml:space="preserve"> CUTOFF profit</t>
  </si>
  <si>
    <t xml:space="preserve"> CUTOFF loss</t>
  </si>
  <si>
    <t>Pinza monotona de/crescente</t>
  </si>
  <si>
    <t>Max order by cluster</t>
  </si>
  <si>
    <t>Close &gt;friday 18:00</t>
  </si>
  <si>
    <t xml:space="preserve"> IF %a TP &gt; SL = OpenPrice + %bTP)</t>
  </si>
  <si>
    <t xml:space="preserve"> %b TP to add on OpenPrice</t>
  </si>
  <si>
    <t>DAX_1S  2Ax</t>
  </si>
  <si>
    <t>A01_2001x</t>
  </si>
  <si>
    <t>A05_2001</t>
  </si>
  <si>
    <t>C04_2001</t>
  </si>
  <si>
    <t>E07_2H4 AB</t>
  </si>
  <si>
    <t>E07_2H4 AC</t>
  </si>
  <si>
    <t>GBP JPY 4H_210§</t>
  </si>
  <si>
    <t>GBP USD 4H_210</t>
  </si>
  <si>
    <t>U02_2H04 AC</t>
  </si>
  <si>
    <t>U02_2H04 AB</t>
  </si>
  <si>
    <t>USD JPY 4H_210</t>
  </si>
  <si>
    <t>E07_2H1 0A</t>
  </si>
  <si>
    <t>E07_2H04 0AX</t>
  </si>
  <si>
    <t>E20_2M30 A</t>
  </si>
  <si>
    <t>E20_2M30 B</t>
  </si>
  <si>
    <t>E07_2D1 0A</t>
  </si>
  <si>
    <t>E07_2H40A</t>
  </si>
  <si>
    <t>E07_2H10A</t>
  </si>
  <si>
    <t>E07_2H10B</t>
  </si>
  <si>
    <t>E07_2H4AB</t>
  </si>
  <si>
    <t>U02_2H4 AA</t>
  </si>
  <si>
    <t>U02_2H4 AB</t>
  </si>
  <si>
    <t>U02_2H4 AC</t>
  </si>
  <si>
    <t>DAILY</t>
  </si>
  <si>
    <t>WEEKLY</t>
  </si>
  <si>
    <t>activeEdgeOrder</t>
  </si>
  <si>
    <t>identEdgeOrder</t>
  </si>
  <si>
    <t>indentPercentPennachioEdgeOrder</t>
  </si>
  <si>
    <t>indentPercentModEdgeOrder</t>
  </si>
  <si>
    <t>stopLossEdgeOrder</t>
  </si>
  <si>
    <t>percentStopLossIdent</t>
  </si>
  <si>
    <t>takeProfitEdgeOrder</t>
  </si>
  <si>
    <t>EdgeOrderSize</t>
  </si>
  <si>
    <t>BRENT USD 1D_1C2</t>
  </si>
  <si>
    <t>BRENTCMDUSD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</si>
</sst>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0"/>
    <numFmt numFmtId="166" formatCode="[$-409]h:mm\ AM/PM"/>
    <numFmt numFmtId="167" formatCode="h:mm"/>
    <numFmt numFmtId="168" formatCode="dd\ mmm\ yyyy"/>
    <numFmt numFmtId="169" formatCode="hh:mm:ss\ AM/PM"/>
  </numFmts>
  <fonts count="57">
    <font>
      <sz val="11"/>
      <color rgb="FF000000"/>
      <name val="Calibri"/>
      <family val="2"/>
      <charset val="1"/>
    </font>
    <font>
      <sz val="28"/>
      <color rgb="FFFFFFFF"/>
      <name val="Calibri"/>
      <family val="2"/>
    </font>
    <font>
      <sz val="28"/>
      <color rgb="FF000080"/>
      <name val="Calibri"/>
      <family val="2"/>
    </font>
    <font>
      <b/>
      <sz val="11"/>
      <color rgb="FF000000"/>
      <name val="Calibri"/>
      <family val="2"/>
      <charset val="1"/>
    </font>
    <font>
      <sz val="12"/>
      <color rgb="FF000000"/>
      <name val="Geneva"/>
      <charset val="1"/>
    </font>
    <font>
      <b/>
      <sz val="12"/>
      <color rgb="FF000000"/>
      <name val="Geneva"/>
      <charset val="1"/>
    </font>
    <font>
      <sz val="18"/>
      <color rgb="FFFFFFFF"/>
      <name val="Menlo"/>
      <charset val="1"/>
    </font>
    <font>
      <sz val="15"/>
      <color rgb="FFFFFFFF"/>
      <name val="Geneva"/>
      <family val="2"/>
      <charset val="1"/>
    </font>
    <font>
      <sz val="15"/>
      <color rgb="FF0000FF"/>
      <name val="Geneva"/>
      <family val="2"/>
      <charset val="1"/>
    </font>
    <font>
      <sz val="15"/>
      <color rgb="FF333333"/>
      <name val="Geneva"/>
      <family val="2"/>
      <charset val="1"/>
    </font>
    <font>
      <sz val="14"/>
      <color rgb="FF333333"/>
      <name val="Geneva"/>
      <family val="2"/>
      <charset val="1"/>
    </font>
    <font>
      <sz val="15"/>
      <color rgb="FF333333"/>
      <name val="Arial"/>
      <family val="2"/>
      <charset val="1"/>
    </font>
    <font>
      <sz val="14"/>
      <color rgb="FF333333"/>
      <name val="Arial Narrow"/>
      <family val="2"/>
      <charset val="1"/>
    </font>
    <font>
      <sz val="18"/>
      <color rgb="FF2323DC"/>
      <name val="Geneva"/>
      <family val="2"/>
      <charset val="1"/>
    </font>
    <font>
      <sz val="18"/>
      <color rgb="FF2323DC"/>
      <name val="Geneva"/>
      <charset val="1"/>
    </font>
    <font>
      <b/>
      <sz val="16"/>
      <color rgb="FFC9211E"/>
      <name val="Calibri"/>
      <family val="2"/>
      <charset val="1"/>
    </font>
    <font>
      <sz val="12"/>
      <color rgb="FFFFFF00"/>
      <name val="Geneva"/>
      <charset val="1"/>
    </font>
    <font>
      <sz val="12"/>
      <color rgb="FFF2FCDD"/>
      <name val="Geneva"/>
      <charset val="1"/>
    </font>
    <font>
      <b/>
      <sz val="16"/>
      <color rgb="FFC9211E"/>
      <name val="Geneva"/>
      <family val="2"/>
      <charset val="1"/>
    </font>
    <font>
      <sz val="15"/>
      <name val="Geneva"/>
      <family val="2"/>
      <charset val="1"/>
    </font>
    <font>
      <sz val="12"/>
      <color rgb="FF6A8759"/>
      <name val="Geneva"/>
      <charset val="1"/>
    </font>
    <font>
      <sz val="12"/>
      <color rgb="FFFF0000"/>
      <name val="Geneva"/>
      <charset val="1"/>
    </font>
    <font>
      <sz val="12"/>
      <color rgb="FF0000FF"/>
      <name val="Geneva"/>
      <charset val="1"/>
    </font>
    <font>
      <sz val="12"/>
      <color rgb="FF333333"/>
      <name val="Geneva"/>
      <charset val="1"/>
    </font>
    <font>
      <b/>
      <sz val="12"/>
      <color rgb="FF333333"/>
      <name val="Geneva"/>
      <charset val="1"/>
    </font>
    <font>
      <sz val="12"/>
      <color rgb="FF000000"/>
      <name val="Calibri"/>
      <family val="2"/>
      <charset val="1"/>
    </font>
    <font>
      <sz val="20"/>
      <name val="Geneva"/>
      <family val="2"/>
      <charset val="1"/>
    </font>
    <font>
      <sz val="12"/>
      <name val="Geneva"/>
      <family val="2"/>
      <charset val="1"/>
    </font>
    <font>
      <sz val="18"/>
      <color rgb="FF7B3D00"/>
      <name val="Menlo"/>
      <charset val="1"/>
    </font>
    <font>
      <sz val="18"/>
      <color indexed="9"/>
      <name val="Geneva"/>
      <charset val="1"/>
    </font>
    <font>
      <sz val="15"/>
      <color indexed="63"/>
      <name val="Geneva"/>
      <family val="2"/>
      <charset val="1"/>
    </font>
    <font>
      <sz val="18"/>
      <color indexed="62"/>
      <name val="Geneva"/>
      <family val="2"/>
      <charset val="1"/>
    </font>
    <font>
      <sz val="16"/>
      <color indexed="63"/>
      <name val="Geneva"/>
      <family val="2"/>
      <charset val="1"/>
    </font>
    <font>
      <b/>
      <sz val="22"/>
      <color indexed="9"/>
      <name val="Geneva"/>
      <family val="2"/>
      <charset val="1"/>
    </font>
    <font>
      <sz val="15"/>
      <color indexed="12"/>
      <name val="Geneva"/>
      <family val="2"/>
      <charset val="1"/>
    </font>
    <font>
      <sz val="16"/>
      <color indexed="9"/>
      <name val="Geneva"/>
      <family val="2"/>
      <charset val="1"/>
    </font>
    <font>
      <sz val="14"/>
      <color indexed="63"/>
      <name val="Geneva"/>
      <family val="2"/>
      <charset val="1"/>
    </font>
    <font>
      <sz val="28"/>
      <color rgb="FFFFFFFF"/>
      <name val="Calibri"/>
      <charset val="1"/>
    </font>
    <font>
      <sz val="15"/>
      <color rgb="FF000000"/>
      <name val="Geneva"/>
      <family val="2"/>
      <charset val="1"/>
    </font>
    <font>
      <b/>
      <sz val="20"/>
      <color rgb="FFFF0000"/>
      <name val="Geneva"/>
      <family val="2"/>
      <charset val="1"/>
    </font>
    <font>
      <sz val="16"/>
      <color rgb="FF000000"/>
      <name val="Geneva"/>
      <family val="2"/>
      <charset val="1"/>
    </font>
    <font>
      <sz val="16"/>
      <name val="Geneva"/>
      <family val="2"/>
      <charset val="1"/>
    </font>
    <font>
      <sz val="16"/>
      <color rgb="FF587647"/>
      <name val="Geneva"/>
      <family val="2"/>
      <charset val="1"/>
    </font>
    <font>
      <sz val="16"/>
      <color rgb="FF262626"/>
      <name val="Geneva"/>
      <family val="2"/>
      <charset val="1"/>
    </font>
    <font>
      <sz val="16"/>
      <color rgb="FF333333"/>
      <name val="Geneva"/>
      <family val="2"/>
      <charset val="1"/>
    </font>
    <font>
      <sz val="15"/>
      <color rgb="FF313131"/>
      <name val="Geneva"/>
      <family val="2"/>
      <charset val="1"/>
    </font>
    <font>
      <sz val="18"/>
      <color rgb="FFFFFFFF"/>
      <name val="Geneva"/>
      <family val="2"/>
      <charset val="1"/>
    </font>
    <font>
      <sz val="18"/>
      <color rgb="FFFFFFFF"/>
      <name val="Geneva"/>
      <charset val="1"/>
    </font>
    <font>
      <sz val="16"/>
      <color rgb="FF313131"/>
      <name val="Geneva"/>
      <family val="2"/>
      <charset val="1"/>
    </font>
    <font>
      <sz val="12"/>
      <color rgb="FF000000"/>
      <name val="Arial"/>
      <family val="2"/>
      <charset val="1"/>
    </font>
    <font>
      <sz val="10"/>
      <name val="Arial"/>
      <family val="2"/>
    </font>
    <font>
      <sz val="18"/>
      <color indexed="9"/>
      <name val="Geneva"/>
      <family val="2"/>
      <charset val="1"/>
    </font>
    <font>
      <sz val="18"/>
      <color indexed="59"/>
      <name val="Geneva"/>
      <family val="2"/>
      <charset val="1"/>
    </font>
    <font>
      <sz val="18"/>
      <color indexed="63"/>
      <name val="Geneva"/>
      <family val="2"/>
      <charset val="1"/>
    </font>
    <font>
      <sz val="15"/>
      <color indexed="59"/>
      <name val="Arial Narrow"/>
      <family val="2"/>
      <charset val="1"/>
    </font>
    <font>
      <sz val="15"/>
      <color indexed="59"/>
      <name val="Geneva"/>
      <family val="2"/>
      <charset val="1"/>
    </font>
    <font>
      <sz val="18"/>
      <color indexed="12"/>
      <name val="Geneva"/>
      <family val="2"/>
      <charset val="1"/>
    </font>
  </fonts>
  <fills count="48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CDCDC"/>
        <bgColor rgb="FFDDE8CB"/>
      </patternFill>
    </fill>
    <fill>
      <patternFill patternType="solid">
        <fgColor rgb="FF5983B0"/>
        <bgColor rgb="FF6A8759"/>
      </patternFill>
    </fill>
    <fill>
      <patternFill patternType="solid">
        <fgColor rgb="FF996633"/>
        <bgColor rgb="FF6A8759"/>
      </patternFill>
    </fill>
    <fill>
      <patternFill patternType="solid">
        <fgColor rgb="FFFFD428"/>
        <bgColor rgb="FFFFD700"/>
      </patternFill>
    </fill>
    <fill>
      <patternFill patternType="solid">
        <fgColor rgb="FFD4EA6B"/>
        <bgColor rgb="FFD8FBAB"/>
      </patternFill>
    </fill>
    <fill>
      <patternFill patternType="solid">
        <fgColor rgb="FFD8FBAB"/>
        <bgColor rgb="FFDDE8CB"/>
      </patternFill>
    </fill>
    <fill>
      <patternFill patternType="solid">
        <fgColor rgb="FFB7DEE8"/>
        <bgColor rgb="FFDCDCDC"/>
      </patternFill>
    </fill>
    <fill>
      <patternFill patternType="solid">
        <fgColor rgb="FFFFFF00"/>
        <bgColor rgb="FFFFD700"/>
      </patternFill>
    </fill>
    <fill>
      <patternFill patternType="solid">
        <fgColor rgb="FFEBF1DE"/>
        <bgColor rgb="FFF2FCDD"/>
      </patternFill>
    </fill>
    <fill>
      <patternFill patternType="solid">
        <fgColor rgb="FFDEB887"/>
        <bgColor rgb="FFFDD092"/>
      </patternFill>
    </fill>
    <fill>
      <patternFill patternType="solid">
        <fgColor rgb="FFFFEB8C"/>
        <bgColor rgb="FFFDD092"/>
      </patternFill>
    </fill>
    <fill>
      <patternFill patternType="solid">
        <fgColor rgb="FFFDD092"/>
        <bgColor rgb="FFFFEB8C"/>
      </patternFill>
    </fill>
    <fill>
      <patternFill patternType="solid">
        <fgColor rgb="FFBFBFBF"/>
        <bgColor rgb="FFDEB887"/>
      </patternFill>
    </fill>
    <fill>
      <patternFill patternType="solid">
        <fgColor rgb="FFDDE8CB"/>
        <bgColor rgb="FFDCDCDC"/>
      </patternFill>
    </fill>
    <fill>
      <patternFill patternType="solid">
        <fgColor rgb="FF7CFC00"/>
        <bgColor rgb="FF81D41A"/>
      </patternFill>
    </fill>
    <fill>
      <patternFill patternType="solid">
        <fgColor rgb="FF81D41A"/>
        <bgColor rgb="FF7CFC00"/>
      </patternFill>
    </fill>
    <fill>
      <patternFill patternType="solid">
        <fgColor rgb="FFFF6D6D"/>
        <bgColor rgb="FFFF6600"/>
      </patternFill>
    </fill>
    <fill>
      <patternFill patternType="solid">
        <fgColor rgb="FFFFD700"/>
        <bgColor rgb="FFFFD428"/>
      </patternFill>
    </fill>
    <fill>
      <patternFill patternType="solid">
        <fgColor indexed="25"/>
        <bgColor indexed="61"/>
      </patternFill>
    </fill>
    <fill>
      <patternFill patternType="solid">
        <fgColor indexed="26"/>
        <bgColor indexed="9"/>
      </patternFill>
    </fill>
    <fill>
      <patternFill patternType="solid">
        <fgColor indexed="50"/>
        <bgColor indexed="57"/>
      </patternFill>
    </fill>
    <fill>
      <patternFill patternType="solid">
        <fgColor indexed="12"/>
        <bgColor indexed="39"/>
      </patternFill>
    </fill>
    <fill>
      <patternFill patternType="solid">
        <fgColor indexed="9"/>
        <bgColor indexed="26"/>
      </patternFill>
    </fill>
    <fill>
      <patternFill patternType="solid">
        <fgColor rgb="FFFF0000"/>
        <bgColor rgb="FFFF3838"/>
      </patternFill>
    </fill>
    <fill>
      <patternFill patternType="solid">
        <fgColor rgb="FFFFFFFF"/>
        <bgColor rgb="FFFFFFD7"/>
      </patternFill>
    </fill>
    <fill>
      <patternFill patternType="solid">
        <fgColor rgb="FF29381F"/>
        <bgColor rgb="FF313131"/>
      </patternFill>
    </fill>
    <fill>
      <patternFill patternType="solid">
        <fgColor rgb="FFD3D3D3"/>
        <bgColor rgb="FFDEDCE6"/>
      </patternFill>
    </fill>
    <fill>
      <patternFill patternType="solid">
        <fgColor rgb="FFEEEEEE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E8F2A1"/>
        <bgColor rgb="FFDDE8CB"/>
      </patternFill>
    </fill>
    <fill>
      <patternFill patternType="solid">
        <fgColor rgb="FFFFFFD7"/>
        <bgColor rgb="FFF6F9D4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262626"/>
      </patternFill>
    </fill>
    <fill>
      <patternFill patternType="solid">
        <fgColor rgb="FF996633"/>
        <bgColor rgb="FF706E0C"/>
      </patternFill>
    </fill>
    <fill>
      <patternFill patternType="solid">
        <fgColor rgb="FF00A933"/>
        <bgColor rgb="FF008000"/>
      </patternFill>
    </fill>
    <fill>
      <patternFill patternType="solid">
        <fgColor rgb="FF729FCF"/>
        <bgColor rgb="FF9A9A9A"/>
      </patternFill>
    </fill>
    <fill>
      <patternFill patternType="solid">
        <fgColor rgb="FFFF7B59"/>
        <bgColor rgb="FFFF9900"/>
      </patternFill>
    </fill>
    <fill>
      <patternFill patternType="solid">
        <fgColor rgb="FF32CD32"/>
        <bgColor rgb="FF5EB91E"/>
      </patternFill>
    </fill>
    <fill>
      <patternFill patternType="solid">
        <fgColor rgb="FFC9A479"/>
        <bgColor rgb="FF9A9A9A"/>
      </patternFill>
    </fill>
    <fill>
      <patternFill patternType="solid">
        <fgColor rgb="FF9932CC"/>
        <bgColor rgb="FF800080"/>
      </patternFill>
    </fill>
    <fill>
      <patternFill patternType="solid">
        <fgColor rgb="FF706E0C"/>
        <bgColor rgb="FF587647"/>
      </patternFill>
    </fill>
    <fill>
      <patternFill patternType="solid">
        <fgColor rgb="FFDEDCE6"/>
        <bgColor rgb="FFD3D3D3"/>
      </patternFill>
    </fill>
    <fill>
      <patternFill patternType="solid">
        <fgColor rgb="FFFF9966"/>
        <bgColor rgb="FFFF99CC"/>
      </patternFill>
    </fill>
    <fill>
      <patternFill patternType="solid">
        <fgColor indexed="43"/>
        <bgColor indexed="26"/>
      </patternFill>
    </fill>
    <fill>
      <patternFill patternType="solid">
        <fgColor indexed="20"/>
        <bgColor indexed="36"/>
      </patternFill>
    </fill>
  </fills>
  <borders count="55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333333"/>
      </left>
      <right style="medium">
        <color rgb="FF333333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 style="medium">
        <color auto="1"/>
      </left>
      <right style="medium">
        <color auto="1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rgb="FF333333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333333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3"/>
      </top>
      <bottom style="medium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63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rgb="FF9A9A9A"/>
      </left>
      <right style="thin">
        <color rgb="FF9A9A9A"/>
      </right>
      <top style="thin">
        <color auto="1"/>
      </top>
      <bottom style="thin">
        <color rgb="FF9A9A9A"/>
      </bottom>
      <diagonal/>
    </border>
    <border>
      <left style="hair">
        <color auto="1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auto="1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rgb="FF9A9A9A"/>
      </left>
      <right style="thin">
        <color auto="1"/>
      </right>
      <top style="thin">
        <color auto="1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auto="1"/>
      </bottom>
      <diagonal/>
    </border>
    <border>
      <left style="thin">
        <color rgb="FF9A9A9A"/>
      </left>
      <right style="thin">
        <color auto="1"/>
      </right>
      <top style="thin">
        <color rgb="FF9A9A9A"/>
      </top>
      <bottom style="thin">
        <color auto="1"/>
      </bottom>
      <diagonal/>
    </border>
    <border>
      <left style="thin">
        <color rgb="FF9A9A9A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rgb="FF313131"/>
      </top>
      <bottom/>
      <diagonal/>
    </border>
    <border>
      <left style="thin">
        <color auto="1"/>
      </left>
      <right style="thin">
        <color auto="1"/>
      </right>
      <top style="thin">
        <color rgb="FF9A9A9A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rgb="FF313131"/>
      </top>
      <bottom style="medium">
        <color rgb="FF313131"/>
      </bottom>
      <diagonal/>
    </border>
    <border>
      <left style="medium">
        <color auto="1"/>
      </left>
      <right style="medium">
        <color auto="1"/>
      </right>
      <top/>
      <bottom style="medium">
        <color rgb="FF31313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59"/>
      </top>
      <bottom style="medium">
        <color indexed="59"/>
      </bottom>
      <diagonal/>
    </border>
  </borders>
  <cellStyleXfs count="2">
    <xf numFmtId="0" fontId="0" fillId="0" borderId="0"/>
    <xf numFmtId="0" fontId="50" fillId="0" borderId="0"/>
  </cellStyleXfs>
  <cellXfs count="22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15" fontId="8" fillId="0" borderId="6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165" fontId="14" fillId="0" borderId="5" xfId="0" applyNumberFormat="1" applyFont="1" applyBorder="1" applyAlignment="1">
      <alignment horizontal="center" vertical="center" wrapText="1"/>
    </xf>
    <xf numFmtId="164" fontId="14" fillId="0" borderId="5" xfId="0" applyNumberFormat="1" applyFont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6" fillId="8" borderId="4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3" fontId="9" fillId="0" borderId="7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3" fontId="9" fillId="0" borderId="11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/>
    </xf>
    <xf numFmtId="0" fontId="4" fillId="9" borderId="3" xfId="0" applyFont="1" applyFill="1" applyBorder="1" applyAlignment="1">
      <alignment vertical="center"/>
    </xf>
    <xf numFmtId="0" fontId="4" fillId="9" borderId="4" xfId="0" applyFont="1" applyFill="1" applyBorder="1" applyAlignment="1">
      <alignment vertical="center"/>
    </xf>
    <xf numFmtId="0" fontId="9" fillId="10" borderId="9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19" fillId="12" borderId="7" xfId="0" applyFont="1" applyFill="1" applyBorder="1" applyAlignment="1">
      <alignment horizontal="center" vertical="center" wrapText="1"/>
    </xf>
    <xf numFmtId="166" fontId="4" fillId="0" borderId="4" xfId="0" applyNumberFormat="1" applyFont="1" applyBorder="1" applyAlignment="1">
      <alignment vertical="center"/>
    </xf>
    <xf numFmtId="167" fontId="10" fillId="0" borderId="7" xfId="0" applyNumberFormat="1" applyFont="1" applyBorder="1" applyAlignment="1">
      <alignment horizontal="center" vertical="center" wrapText="1"/>
    </xf>
    <xf numFmtId="167" fontId="9" fillId="0" borderId="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vertical="center"/>
    </xf>
    <xf numFmtId="0" fontId="4" fillId="13" borderId="3" xfId="0" applyFont="1" applyFill="1" applyBorder="1" applyAlignment="1">
      <alignment vertical="center"/>
    </xf>
    <xf numFmtId="0" fontId="4" fillId="13" borderId="4" xfId="0" applyFont="1" applyFill="1" applyBorder="1" applyAlignment="1">
      <alignment vertical="center"/>
    </xf>
    <xf numFmtId="0" fontId="21" fillId="13" borderId="4" xfId="0" applyFont="1" applyFill="1" applyBorder="1" applyAlignment="1">
      <alignment vertical="center"/>
    </xf>
    <xf numFmtId="0" fontId="22" fillId="14" borderId="3" xfId="0" applyFont="1" applyFill="1" applyBorder="1" applyAlignment="1">
      <alignment vertical="center"/>
    </xf>
    <xf numFmtId="0" fontId="22" fillId="14" borderId="4" xfId="0" applyFont="1" applyFill="1" applyBorder="1" applyAlignment="1">
      <alignment vertical="center"/>
    </xf>
    <xf numFmtId="0" fontId="4" fillId="15" borderId="3" xfId="0" applyFont="1" applyFill="1" applyBorder="1" applyAlignment="1">
      <alignment vertical="center"/>
    </xf>
    <xf numFmtId="0" fontId="4" fillId="15" borderId="4" xfId="0" applyFont="1" applyFill="1" applyBorder="1" applyAlignment="1">
      <alignment vertical="center"/>
    </xf>
    <xf numFmtId="0" fontId="10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 wrapText="1"/>
    </xf>
    <xf numFmtId="0" fontId="25" fillId="0" borderId="0" xfId="0" applyFont="1" applyAlignment="1">
      <alignment vertical="center"/>
    </xf>
    <xf numFmtId="3" fontId="26" fillId="16" borderId="23" xfId="0" applyNumberFormat="1" applyFont="1" applyFill="1" applyBorder="1" applyAlignment="1">
      <alignment horizontal="center" vertical="center"/>
    </xf>
    <xf numFmtId="3" fontId="26" fillId="16" borderId="24" xfId="0" applyNumberFormat="1" applyFont="1" applyFill="1" applyBorder="1" applyAlignment="1">
      <alignment horizontal="center" vertical="center"/>
    </xf>
    <xf numFmtId="3" fontId="26" fillId="16" borderId="6" xfId="0" applyNumberFormat="1" applyFont="1" applyFill="1" applyBorder="1" applyAlignment="1">
      <alignment horizontal="center" vertical="center"/>
    </xf>
    <xf numFmtId="3" fontId="26" fillId="16" borderId="25" xfId="0" applyNumberFormat="1" applyFont="1" applyFill="1" applyBorder="1" applyAlignment="1">
      <alignment horizontal="center" vertical="center"/>
    </xf>
    <xf numFmtId="168" fontId="8" fillId="0" borderId="6" xfId="0" applyNumberFormat="1" applyFont="1" applyBorder="1" applyAlignment="1">
      <alignment horizontal="center" vertical="center"/>
    </xf>
    <xf numFmtId="0" fontId="27" fillId="17" borderId="23" xfId="0" applyFont="1" applyFill="1" applyBorder="1" applyAlignment="1">
      <alignment vertical="center"/>
    </xf>
    <xf numFmtId="0" fontId="27" fillId="18" borderId="23" xfId="0" applyFont="1" applyFill="1" applyBorder="1" applyAlignment="1">
      <alignment vertical="center"/>
    </xf>
    <xf numFmtId="0" fontId="27" fillId="19" borderId="23" xfId="0" applyFont="1" applyFill="1" applyBorder="1" applyAlignment="1">
      <alignment vertical="center"/>
    </xf>
    <xf numFmtId="0" fontId="27" fillId="20" borderId="23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0" fillId="0" borderId="0" xfId="0" applyFont="1"/>
    <xf numFmtId="0" fontId="23" fillId="0" borderId="3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9" fillId="21" borderId="27" xfId="0" applyFont="1" applyFill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164" fontId="31" fillId="0" borderId="27" xfId="0" applyNumberFormat="1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167" fontId="32" fillId="0" borderId="28" xfId="0" applyNumberFormat="1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2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0" fontId="32" fillId="0" borderId="34" xfId="0" applyFont="1" applyBorder="1" applyAlignment="1">
      <alignment horizontal="center" vertical="center" wrapText="1"/>
    </xf>
    <xf numFmtId="3" fontId="26" fillId="22" borderId="35" xfId="0" applyNumberFormat="1" applyFont="1" applyFill="1" applyBorder="1" applyAlignment="1">
      <alignment horizontal="center" vertical="center"/>
    </xf>
    <xf numFmtId="3" fontId="26" fillId="22" borderId="36" xfId="0" applyNumberFormat="1" applyFont="1" applyFill="1" applyBorder="1" applyAlignment="1">
      <alignment horizontal="center" vertical="center"/>
    </xf>
    <xf numFmtId="3" fontId="33" fillId="23" borderId="36" xfId="0" applyNumberFormat="1" applyFont="1" applyFill="1" applyBorder="1" applyAlignment="1">
      <alignment horizontal="center" vertical="center" wrapText="1"/>
    </xf>
    <xf numFmtId="3" fontId="26" fillId="22" borderId="37" xfId="0" applyNumberFormat="1" applyFont="1" applyFill="1" applyBorder="1" applyAlignment="1">
      <alignment horizontal="center" vertical="center"/>
    </xf>
    <xf numFmtId="168" fontId="34" fillId="0" borderId="36" xfId="0" applyNumberFormat="1" applyFont="1" applyBorder="1" applyAlignment="1">
      <alignment horizontal="center" vertical="center"/>
    </xf>
    <xf numFmtId="0" fontId="29" fillId="24" borderId="27" xfId="0" applyFont="1" applyFill="1" applyBorder="1" applyAlignment="1">
      <alignment horizontal="center" vertical="center" wrapText="1"/>
    </xf>
    <xf numFmtId="3" fontId="26" fillId="22" borderId="34" xfId="0" applyNumberFormat="1" applyFont="1" applyFill="1" applyBorder="1" applyAlignment="1">
      <alignment horizontal="center" vertical="center"/>
    </xf>
    <xf numFmtId="0" fontId="35" fillId="24" borderId="27" xfId="0" applyFont="1" applyFill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167" fontId="30" fillId="0" borderId="28" xfId="0" applyNumberFormat="1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32" fillId="25" borderId="35" xfId="0" applyFont="1" applyFill="1" applyBorder="1" applyAlignment="1">
      <alignment horizontal="center" vertical="center" wrapText="1"/>
    </xf>
    <xf numFmtId="0" fontId="32" fillId="25" borderId="37" xfId="0" applyFont="1" applyFill="1" applyBorder="1" applyAlignment="1">
      <alignment horizontal="center" vertical="center" wrapText="1"/>
    </xf>
    <xf numFmtId="3" fontId="26" fillId="22" borderId="0" xfId="0" applyNumberFormat="1" applyFont="1" applyFill="1" applyBorder="1" applyAlignment="1">
      <alignment horizontal="center" vertical="center"/>
    </xf>
    <xf numFmtId="3" fontId="33" fillId="23" borderId="0" xfId="0" applyNumberFormat="1" applyFont="1" applyFill="1" applyBorder="1" applyAlignment="1">
      <alignment horizontal="center" vertical="center" wrapText="1"/>
    </xf>
    <xf numFmtId="168" fontId="34" fillId="0" borderId="0" xfId="0" applyNumberFormat="1" applyFont="1" applyBorder="1" applyAlignment="1">
      <alignment horizontal="center" vertical="center"/>
    </xf>
    <xf numFmtId="0" fontId="29" fillId="24" borderId="0" xfId="0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37" fillId="26" borderId="0" xfId="0" applyFont="1" applyFill="1" applyAlignment="1">
      <alignment horizontal="center" vertical="center"/>
    </xf>
    <xf numFmtId="0" fontId="38" fillId="27" borderId="38" xfId="0" applyFont="1" applyFill="1" applyBorder="1" applyAlignment="1">
      <alignment vertical="center"/>
    </xf>
    <xf numFmtId="0" fontId="39" fillId="27" borderId="24" xfId="0" applyFont="1" applyFill="1" applyBorder="1" applyAlignment="1">
      <alignment horizontal="center" vertical="center"/>
    </xf>
    <xf numFmtId="0" fontId="6" fillId="28" borderId="5" xfId="0" applyFont="1" applyFill="1" applyBorder="1" applyAlignment="1">
      <alignment horizontal="center" vertical="center" wrapText="1"/>
    </xf>
    <xf numFmtId="0" fontId="40" fillId="0" borderId="39" xfId="0" applyFont="1" applyBorder="1" applyAlignment="1">
      <alignment vertical="center"/>
    </xf>
    <xf numFmtId="0" fontId="40" fillId="0" borderId="40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41" fillId="0" borderId="40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27" borderId="1" xfId="0" applyFont="1" applyFill="1" applyBorder="1" applyAlignment="1">
      <alignment vertical="center"/>
    </xf>
    <xf numFmtId="0" fontId="41" fillId="27" borderId="2" xfId="0" applyFont="1" applyFill="1" applyBorder="1" applyAlignment="1">
      <alignment vertical="center"/>
    </xf>
    <xf numFmtId="0" fontId="40" fillId="27" borderId="21" xfId="0" applyFont="1" applyFill="1" applyBorder="1" applyAlignment="1">
      <alignment vertical="center"/>
    </xf>
    <xf numFmtId="0" fontId="41" fillId="27" borderId="42" xfId="0" applyFont="1" applyFill="1" applyBorder="1" applyAlignment="1">
      <alignment vertical="center"/>
    </xf>
    <xf numFmtId="0" fontId="40" fillId="29" borderId="1" xfId="0" applyFont="1" applyFill="1" applyBorder="1" applyAlignment="1">
      <alignment vertical="center"/>
    </xf>
    <xf numFmtId="0" fontId="41" fillId="29" borderId="2" xfId="0" applyFont="1" applyFill="1" applyBorder="1" applyAlignment="1">
      <alignment vertical="center"/>
    </xf>
    <xf numFmtId="0" fontId="40" fillId="29" borderId="3" xfId="0" applyFont="1" applyFill="1" applyBorder="1" applyAlignment="1">
      <alignment vertical="center"/>
    </xf>
    <xf numFmtId="0" fontId="41" fillId="29" borderId="4" xfId="0" applyFont="1" applyFill="1" applyBorder="1" applyAlignment="1">
      <alignment vertical="center"/>
    </xf>
    <xf numFmtId="0" fontId="40" fillId="29" borderId="21" xfId="0" applyFont="1" applyFill="1" applyBorder="1" applyAlignment="1">
      <alignment vertical="center"/>
    </xf>
    <xf numFmtId="0" fontId="41" fillId="29" borderId="42" xfId="0" applyFont="1" applyFill="1" applyBorder="1" applyAlignment="1">
      <alignment vertical="center"/>
    </xf>
    <xf numFmtId="0" fontId="40" fillId="30" borderId="1" xfId="0" applyFont="1" applyFill="1" applyBorder="1" applyAlignment="1">
      <alignment vertical="center"/>
    </xf>
    <xf numFmtId="0" fontId="41" fillId="30" borderId="2" xfId="0" applyFont="1" applyFill="1" applyBorder="1" applyAlignment="1">
      <alignment vertical="center"/>
    </xf>
    <xf numFmtId="0" fontId="40" fillId="30" borderId="3" xfId="0" applyFont="1" applyFill="1" applyBorder="1" applyAlignment="1">
      <alignment vertical="center"/>
    </xf>
    <xf numFmtId="0" fontId="41" fillId="30" borderId="4" xfId="0" applyFont="1" applyFill="1" applyBorder="1" applyAlignment="1">
      <alignment vertical="center"/>
    </xf>
    <xf numFmtId="0" fontId="40" fillId="30" borderId="21" xfId="0" applyFont="1" applyFill="1" applyBorder="1" applyAlignment="1">
      <alignment vertical="center"/>
    </xf>
    <xf numFmtId="0" fontId="41" fillId="30" borderId="42" xfId="0" applyFont="1" applyFill="1" applyBorder="1" applyAlignment="1">
      <alignment vertical="center"/>
    </xf>
    <xf numFmtId="0" fontId="40" fillId="0" borderId="38" xfId="0" applyFont="1" applyBorder="1" applyAlignment="1">
      <alignment vertical="center"/>
    </xf>
    <xf numFmtId="0" fontId="41" fillId="0" borderId="43" xfId="0" applyFont="1" applyBorder="1" applyAlignment="1">
      <alignment vertical="center"/>
    </xf>
    <xf numFmtId="169" fontId="40" fillId="0" borderId="40" xfId="0" applyNumberFormat="1" applyFont="1" applyBorder="1" applyAlignment="1">
      <alignment vertical="center"/>
    </xf>
    <xf numFmtId="0" fontId="40" fillId="0" borderId="44" xfId="0" applyFont="1" applyBorder="1" applyAlignment="1">
      <alignment vertical="center"/>
    </xf>
    <xf numFmtId="0" fontId="42" fillId="27" borderId="45" xfId="0" applyFont="1" applyFill="1" applyBorder="1" applyAlignment="1">
      <alignment vertical="center"/>
    </xf>
    <xf numFmtId="0" fontId="40" fillId="31" borderId="1" xfId="0" applyFont="1" applyFill="1" applyBorder="1" applyAlignment="1">
      <alignment vertical="center"/>
    </xf>
    <xf numFmtId="0" fontId="40" fillId="31" borderId="2" xfId="0" applyFont="1" applyFill="1" applyBorder="1" applyAlignment="1">
      <alignment vertical="center"/>
    </xf>
    <xf numFmtId="0" fontId="40" fillId="31" borderId="3" xfId="0" applyFont="1" applyFill="1" applyBorder="1" applyAlignment="1">
      <alignment vertical="center"/>
    </xf>
    <xf numFmtId="0" fontId="40" fillId="31" borderId="4" xfId="0" applyFont="1" applyFill="1" applyBorder="1" applyAlignment="1">
      <alignment vertical="center"/>
    </xf>
    <xf numFmtId="0" fontId="40" fillId="31" borderId="21" xfId="0" applyFont="1" applyFill="1" applyBorder="1" applyAlignment="1">
      <alignment vertical="center"/>
    </xf>
    <xf numFmtId="0" fontId="40" fillId="31" borderId="42" xfId="0" applyFont="1" applyFill="1" applyBorder="1" applyAlignment="1">
      <alignment vertical="center"/>
    </xf>
    <xf numFmtId="0" fontId="40" fillId="32" borderId="1" xfId="0" applyFont="1" applyFill="1" applyBorder="1" applyAlignment="1">
      <alignment vertical="center"/>
    </xf>
    <xf numFmtId="0" fontId="40" fillId="32" borderId="2" xfId="0" applyFont="1" applyFill="1" applyBorder="1" applyAlignment="1">
      <alignment vertical="center"/>
    </xf>
    <xf numFmtId="0" fontId="40" fillId="32" borderId="21" xfId="0" applyFont="1" applyFill="1" applyBorder="1" applyAlignment="1">
      <alignment vertical="center"/>
    </xf>
    <xf numFmtId="0" fontId="40" fillId="32" borderId="42" xfId="0" applyFont="1" applyFill="1" applyBorder="1" applyAlignment="1">
      <alignment vertical="center"/>
    </xf>
    <xf numFmtId="0" fontId="40" fillId="0" borderId="43" xfId="0" applyFont="1" applyBorder="1" applyAlignment="1">
      <alignment vertical="center"/>
    </xf>
    <xf numFmtId="0" fontId="41" fillId="0" borderId="45" xfId="0" applyFont="1" applyBorder="1" applyAlignment="1">
      <alignment vertical="center"/>
    </xf>
    <xf numFmtId="0" fontId="40" fillId="33" borderId="1" xfId="0" applyFont="1" applyFill="1" applyBorder="1" applyAlignment="1">
      <alignment vertical="center"/>
    </xf>
    <xf numFmtId="0" fontId="41" fillId="33" borderId="2" xfId="0" applyFont="1" applyFill="1" applyBorder="1" applyAlignment="1">
      <alignment vertical="center"/>
    </xf>
    <xf numFmtId="0" fontId="40" fillId="33" borderId="21" xfId="0" applyFont="1" applyFill="1" applyBorder="1" applyAlignment="1">
      <alignment vertical="center"/>
    </xf>
    <xf numFmtId="0" fontId="41" fillId="33" borderId="42" xfId="0" applyFont="1" applyFill="1" applyBorder="1" applyAlignment="1">
      <alignment vertical="center"/>
    </xf>
    <xf numFmtId="0" fontId="40" fillId="33" borderId="46" xfId="0" applyFont="1" applyFill="1" applyBorder="1" applyAlignment="1">
      <alignment vertical="center"/>
    </xf>
    <xf numFmtId="0" fontId="40" fillId="33" borderId="47" xfId="0" applyFont="1" applyFill="1" applyBorder="1" applyAlignment="1">
      <alignment vertical="center"/>
    </xf>
    <xf numFmtId="0" fontId="43" fillId="27" borderId="49" xfId="0" applyFont="1" applyFill="1" applyBorder="1" applyAlignment="1">
      <alignment vertical="center"/>
    </xf>
    <xf numFmtId="0" fontId="43" fillId="27" borderId="47" xfId="0" applyFont="1" applyFill="1" applyBorder="1" applyAlignment="1">
      <alignment vertical="center"/>
    </xf>
    <xf numFmtId="0" fontId="43" fillId="27" borderId="1" xfId="0" applyFont="1" applyFill="1" applyBorder="1" applyAlignment="1">
      <alignment vertical="center"/>
    </xf>
    <xf numFmtId="0" fontId="43" fillId="27" borderId="2" xfId="0" applyFont="1" applyFill="1" applyBorder="1" applyAlignment="1">
      <alignment vertical="center"/>
    </xf>
    <xf numFmtId="0" fontId="43" fillId="27" borderId="21" xfId="0" applyFont="1" applyFill="1" applyBorder="1" applyAlignment="1">
      <alignment vertical="center"/>
    </xf>
    <xf numFmtId="0" fontId="43" fillId="27" borderId="42" xfId="0" applyFont="1" applyFill="1" applyBorder="1" applyAlignment="1">
      <alignment vertical="center"/>
    </xf>
    <xf numFmtId="0" fontId="45" fillId="0" borderId="7" xfId="0" applyFont="1" applyBorder="1" applyAlignment="1">
      <alignment horizontal="center" vertical="center" wrapText="1"/>
    </xf>
    <xf numFmtId="0" fontId="3" fillId="26" borderId="0" xfId="0" applyFont="1" applyFill="1" applyAlignment="1">
      <alignment vertical="center"/>
    </xf>
    <xf numFmtId="0" fontId="6" fillId="36" borderId="5" xfId="0" applyFont="1" applyFill="1" applyBorder="1" applyAlignment="1">
      <alignment horizontal="center" vertical="center" wrapText="1"/>
    </xf>
    <xf numFmtId="0" fontId="7" fillId="37" borderId="5" xfId="0" applyFont="1" applyFill="1" applyBorder="1" applyAlignment="1">
      <alignment horizontal="center" vertical="center" wrapText="1"/>
    </xf>
    <xf numFmtId="0" fontId="46" fillId="35" borderId="5" xfId="0" applyFont="1" applyFill="1" applyBorder="1" applyAlignment="1">
      <alignment horizontal="center" vertical="center" wrapText="1"/>
    </xf>
    <xf numFmtId="0" fontId="7" fillId="38" borderId="5" xfId="0" applyFont="1" applyFill="1" applyBorder="1" applyAlignment="1">
      <alignment horizontal="center" vertical="center" wrapText="1"/>
    </xf>
    <xf numFmtId="0" fontId="7" fillId="39" borderId="5" xfId="0" applyFont="1" applyFill="1" applyBorder="1" applyAlignment="1">
      <alignment horizontal="center" vertical="center" wrapText="1"/>
    </xf>
    <xf numFmtId="0" fontId="47" fillId="40" borderId="5" xfId="0" applyFont="1" applyFill="1" applyBorder="1" applyAlignment="1">
      <alignment horizontal="center" vertical="center" wrapText="1"/>
    </xf>
    <xf numFmtId="0" fontId="47" fillId="2" borderId="5" xfId="0" applyFont="1" applyFill="1" applyBorder="1" applyAlignment="1">
      <alignment horizontal="center" vertical="center" wrapText="1"/>
    </xf>
    <xf numFmtId="0" fontId="46" fillId="41" borderId="5" xfId="0" applyFont="1" applyFill="1" applyBorder="1" applyAlignment="1">
      <alignment horizontal="center" vertical="center" wrapText="1"/>
    </xf>
    <xf numFmtId="0" fontId="47" fillId="42" borderId="5" xfId="0" applyFont="1" applyFill="1" applyBorder="1" applyAlignment="1">
      <alignment horizontal="center" vertical="center" wrapText="1"/>
    </xf>
    <xf numFmtId="0" fontId="46" fillId="43" borderId="5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48" fillId="0" borderId="7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48" fillId="0" borderId="9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3" fontId="48" fillId="0" borderId="7" xfId="0" applyNumberFormat="1" applyFont="1" applyBorder="1" applyAlignment="1">
      <alignment horizontal="center" vertical="center" wrapText="1"/>
    </xf>
    <xf numFmtId="3" fontId="48" fillId="0" borderId="11" xfId="0" applyNumberFormat="1" applyFont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3" fontId="48" fillId="0" borderId="9" xfId="0" applyNumberFormat="1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167" fontId="44" fillId="0" borderId="7" xfId="0" applyNumberFormat="1" applyFont="1" applyBorder="1" applyAlignment="1">
      <alignment horizontal="center" vertical="center" wrapText="1"/>
    </xf>
    <xf numFmtId="0" fontId="48" fillId="0" borderId="50" xfId="0" applyFont="1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 wrapText="1"/>
    </xf>
    <xf numFmtId="0" fontId="48" fillId="0" borderId="48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0" fontId="44" fillId="0" borderId="20" xfId="0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0" fontId="44" fillId="0" borderId="23" xfId="0" applyFont="1" applyBorder="1" applyAlignment="1">
      <alignment horizontal="center" vertical="center" wrapText="1"/>
    </xf>
    <xf numFmtId="0" fontId="44" fillId="44" borderId="23" xfId="0" applyFont="1" applyFill="1" applyBorder="1" applyAlignment="1">
      <alignment horizontal="center" vertical="center" wrapText="1"/>
    </xf>
    <xf numFmtId="0" fontId="44" fillId="34" borderId="23" xfId="0" applyFont="1" applyFill="1" applyBorder="1" applyAlignment="1">
      <alignment horizontal="center" vertical="center" wrapText="1"/>
    </xf>
    <xf numFmtId="0" fontId="44" fillId="0" borderId="24" xfId="0" applyFont="1" applyBorder="1" applyAlignment="1">
      <alignment horizontal="center" vertical="center" wrapText="1"/>
    </xf>
    <xf numFmtId="0" fontId="44" fillId="34" borderId="24" xfId="0" applyFont="1" applyFill="1" applyBorder="1" applyAlignment="1">
      <alignment horizontal="center" vertical="center" wrapText="1"/>
    </xf>
    <xf numFmtId="0" fontId="44" fillId="0" borderId="25" xfId="0" applyFont="1" applyBorder="1" applyAlignment="1">
      <alignment horizontal="center" vertical="center" wrapText="1"/>
    </xf>
    <xf numFmtId="0" fontId="44" fillId="44" borderId="25" xfId="0" applyFont="1" applyFill="1" applyBorder="1" applyAlignment="1">
      <alignment horizontal="center" vertical="center" wrapText="1"/>
    </xf>
    <xf numFmtId="0" fontId="44" fillId="34" borderId="25" xfId="0" applyFont="1" applyFill="1" applyBorder="1" applyAlignment="1">
      <alignment horizontal="center" vertical="center" wrapText="1"/>
    </xf>
    <xf numFmtId="0" fontId="49" fillId="0" borderId="52" xfId="0" applyFont="1" applyBorder="1" applyAlignment="1">
      <alignment horizontal="left" vertical="center" wrapText="1"/>
    </xf>
    <xf numFmtId="0" fontId="23" fillId="45" borderId="4" xfId="0" applyFont="1" applyFill="1" applyBorder="1" applyAlignment="1">
      <alignment horizontal="right" vertical="center" wrapText="1"/>
    </xf>
    <xf numFmtId="0" fontId="49" fillId="0" borderId="53" xfId="0" applyFont="1" applyBorder="1" applyAlignment="1">
      <alignment horizontal="left" vertical="center" wrapText="1"/>
    </xf>
    <xf numFmtId="0" fontId="23" fillId="45" borderId="42" xfId="0" applyFont="1" applyFill="1" applyBorder="1" applyAlignment="1">
      <alignment horizontal="right" vertical="center" wrapText="1"/>
    </xf>
    <xf numFmtId="0" fontId="51" fillId="47" borderId="27" xfId="0" applyFont="1" applyFill="1" applyBorder="1" applyAlignment="1">
      <alignment horizontal="center" vertical="center" wrapText="1"/>
    </xf>
    <xf numFmtId="0" fontId="54" fillId="0" borderId="28" xfId="0" applyFont="1" applyBorder="1" applyAlignment="1">
      <alignment horizontal="center" vertical="center" wrapText="1"/>
    </xf>
    <xf numFmtId="0" fontId="55" fillId="0" borderId="28" xfId="0" applyFont="1" applyBorder="1" applyAlignment="1">
      <alignment horizontal="center" vertical="center" wrapText="1"/>
    </xf>
    <xf numFmtId="165" fontId="56" fillId="0" borderId="27" xfId="0" applyNumberFormat="1" applyFont="1" applyBorder="1" applyAlignment="1">
      <alignment horizontal="center" vertical="center" wrapText="1"/>
    </xf>
    <xf numFmtId="0" fontId="52" fillId="0" borderId="28" xfId="0" applyFont="1" applyBorder="1" applyAlignment="1">
      <alignment horizontal="center" vertical="center" wrapText="1"/>
    </xf>
    <xf numFmtId="0" fontId="52" fillId="0" borderId="29" xfId="0" applyFont="1" applyBorder="1" applyAlignment="1">
      <alignment horizontal="center" vertical="center" wrapText="1"/>
    </xf>
    <xf numFmtId="0" fontId="52" fillId="0" borderId="30" xfId="0" applyFont="1" applyBorder="1" applyAlignment="1">
      <alignment horizontal="center" vertical="center" wrapText="1"/>
    </xf>
    <xf numFmtId="167" fontId="52" fillId="0" borderId="28" xfId="0" applyNumberFormat="1" applyFont="1" applyBorder="1" applyAlignment="1">
      <alignment horizontal="center" vertical="center" wrapText="1"/>
    </xf>
    <xf numFmtId="0" fontId="52" fillId="0" borderId="54" xfId="0" applyFont="1" applyBorder="1" applyAlignment="1">
      <alignment horizontal="center" vertical="center" wrapText="1"/>
    </xf>
    <xf numFmtId="0" fontId="53" fillId="0" borderId="35" xfId="0" applyFont="1" applyBorder="1" applyAlignment="1">
      <alignment horizontal="center" vertical="center" wrapText="1"/>
    </xf>
    <xf numFmtId="0" fontId="52" fillId="0" borderId="36" xfId="0" applyFont="1" applyBorder="1" applyAlignment="1">
      <alignment horizontal="center" vertical="center" wrapText="1"/>
    </xf>
    <xf numFmtId="0" fontId="53" fillId="0" borderId="37" xfId="0" applyFont="1" applyBorder="1" applyAlignment="1">
      <alignment horizontal="center" vertical="center" wrapText="1"/>
    </xf>
    <xf numFmtId="0" fontId="53" fillId="46" borderId="35" xfId="0" applyFont="1" applyFill="1" applyBorder="1" applyAlignment="1">
      <alignment horizontal="center" vertical="center" wrapText="1"/>
    </xf>
    <xf numFmtId="0" fontId="53" fillId="46" borderId="36" xfId="0" applyFont="1" applyFill="1" applyBorder="1" applyAlignment="1">
      <alignment horizontal="center" vertical="center" wrapText="1"/>
    </xf>
    <xf numFmtId="0" fontId="53" fillId="46" borderId="37" xfId="0" applyFont="1" applyFill="1" applyBorder="1" applyAlignment="1">
      <alignment horizontal="center" vertical="center" wrapText="1"/>
    </xf>
  </cellXfs>
  <cellStyles count="2">
    <cellStyle name="Normale" xfId="0" builtinId="0"/>
    <cellStyle name="Normale 2" xfId="1" xr:uid="{FF21673F-BA65-4973-86EA-071ECEF473FA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7CFC00"/>
      <rgbColor rgb="FF0000FF"/>
      <rgbColor rgb="FFFFFF00"/>
      <rgbColor rgb="FFFF00FF"/>
      <rgbColor rgb="FF00FFFF"/>
      <rgbColor rgb="FF800000"/>
      <rgbColor rgb="FF008000"/>
      <rgbColor rgb="FF000080"/>
      <rgbColor rgb="FF996633"/>
      <rgbColor rgb="FF800080"/>
      <rgbColor rgb="FF008080"/>
      <rgbColor rgb="FFBFBFBF"/>
      <rgbColor rgb="FF6A8759"/>
      <rgbColor rgb="FF9999FF"/>
      <rgbColor rgb="FFC9211E"/>
      <rgbColor rgb="FFF2FCDD"/>
      <rgbColor rgb="FFEBF1DE"/>
      <rgbColor rgb="FF660066"/>
      <rgbColor rgb="FFFF6D6D"/>
      <rgbColor rgb="FF0066CC"/>
      <rgbColor rgb="FFDCDCDC"/>
      <rgbColor rgb="FF000080"/>
      <rgbColor rgb="FFFF00FF"/>
      <rgbColor rgb="FFFFD428"/>
      <rgbColor rgb="FF00FFFF"/>
      <rgbColor rgb="FF800080"/>
      <rgbColor rgb="FF800000"/>
      <rgbColor rgb="FF008080"/>
      <rgbColor rgb="FF0000FF"/>
      <rgbColor rgb="FF00CCFF"/>
      <rgbColor rgb="FFDDE8CB"/>
      <rgbColor rgb="FFD8FBAB"/>
      <rgbColor rgb="FFFFEB8C"/>
      <rgbColor rgb="FFB7DEE8"/>
      <rgbColor rgb="FFDEB887"/>
      <rgbColor rgb="FFCC99FF"/>
      <rgbColor rgb="FFFDD092"/>
      <rgbColor rgb="FF3366FF"/>
      <rgbColor rgb="FF33CCCC"/>
      <rgbColor rgb="FF81D41A"/>
      <rgbColor rgb="FFFFD700"/>
      <rgbColor rgb="FFFF9900"/>
      <rgbColor rgb="FFFF6600"/>
      <rgbColor rgb="FF5983B0"/>
      <rgbColor rgb="FFD4EA6B"/>
      <rgbColor rgb="FF003366"/>
      <rgbColor rgb="FF339966"/>
      <rgbColor rgb="FF003300"/>
      <rgbColor rgb="FF333300"/>
      <rgbColor rgb="FF7B3D00"/>
      <rgbColor rgb="FF993366"/>
      <rgbColor rgb="FF2323D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6CDA-DDFC-4C57-B56A-E746505B1CDC}">
  <dimension ref="A1:AML147"/>
  <sheetViews>
    <sheetView tabSelected="1" topLeftCell="A7" zoomScale="70" zoomScaleNormal="70" workbookViewId="0">
      <selection activeCell="C31" sqref="C31"/>
    </sheetView>
  </sheetViews>
  <sheetFormatPr defaultColWidth="8.7109375" defaultRowHeight="15"/>
  <cols>
    <col min="1" max="1" width="33.7109375" style="1" customWidth="1"/>
    <col min="2" max="2" width="29.5703125" style="1" customWidth="1"/>
    <col min="3" max="4" width="18.85546875" style="1" customWidth="1"/>
    <col min="5" max="5" width="18.7109375" style="1" customWidth="1"/>
    <col min="6" max="45" width="18.85546875" style="1" customWidth="1"/>
    <col min="46" max="46" width="18.85546875" customWidth="1"/>
    <col min="47" max="65" width="18.85546875" style="1" customWidth="1"/>
    <col min="66" max="1025" width="8.7109375" style="1"/>
  </cols>
  <sheetData>
    <row r="1" spans="1:72 1026:1026" s="5" customFormat="1" ht="39" customHeight="1" thickBot="1">
      <c r="A1" s="114" t="s">
        <v>222</v>
      </c>
      <c r="B1" s="114" t="s">
        <v>223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I1" s="169"/>
      <c r="AML1"/>
    </row>
    <row r="2" spans="1:72 1026:1026" s="5" customFormat="1" ht="54.75" customHeight="1" thickBot="1">
      <c r="A2" s="115" t="s">
        <v>2</v>
      </c>
      <c r="B2" s="116" t="s">
        <v>224</v>
      </c>
      <c r="C2" s="209" t="s">
        <v>276</v>
      </c>
      <c r="D2" s="170"/>
      <c r="E2" s="117" t="s">
        <v>243</v>
      </c>
      <c r="F2" s="1"/>
      <c r="G2" s="170" t="s">
        <v>244</v>
      </c>
      <c r="H2" s="170" t="s">
        <v>3</v>
      </c>
      <c r="I2" s="170" t="s">
        <v>136</v>
      </c>
      <c r="J2" s="170" t="s">
        <v>245</v>
      </c>
      <c r="K2" s="170" t="s">
        <v>137</v>
      </c>
      <c r="L2" s="170" t="s">
        <v>5</v>
      </c>
      <c r="M2" s="170" t="s">
        <v>246</v>
      </c>
      <c r="N2" s="171" t="s">
        <v>8</v>
      </c>
      <c r="O2" s="172" t="s">
        <v>247</v>
      </c>
      <c r="P2" s="172" t="s">
        <v>248</v>
      </c>
      <c r="Q2" s="171" t="s">
        <v>9</v>
      </c>
      <c r="R2" s="171" t="s">
        <v>10</v>
      </c>
      <c r="S2" s="171" t="s">
        <v>249</v>
      </c>
      <c r="T2" s="173" t="s">
        <v>11</v>
      </c>
      <c r="U2" s="174" t="s">
        <v>250</v>
      </c>
      <c r="V2" s="171" t="s">
        <v>16</v>
      </c>
      <c r="W2" s="172" t="s">
        <v>251</v>
      </c>
      <c r="X2" s="172" t="s">
        <v>252</v>
      </c>
      <c r="Y2" s="174" t="s">
        <v>253</v>
      </c>
      <c r="Z2" s="1"/>
      <c r="AA2" s="1"/>
      <c r="AB2" s="175" t="s">
        <v>254</v>
      </c>
      <c r="AC2" s="172" t="s">
        <v>255</v>
      </c>
      <c r="AD2" s="1"/>
      <c r="AE2" s="176" t="s">
        <v>256</v>
      </c>
      <c r="AF2" s="176" t="s">
        <v>257</v>
      </c>
      <c r="AG2" s="176" t="s">
        <v>258</v>
      </c>
      <c r="AH2" s="177" t="s">
        <v>16</v>
      </c>
      <c r="AI2" s="172" t="s">
        <v>259</v>
      </c>
      <c r="AK2" s="178" t="s">
        <v>260</v>
      </c>
      <c r="AL2" s="178" t="s">
        <v>261</v>
      </c>
      <c r="AM2" s="178" t="s">
        <v>262</v>
      </c>
      <c r="AN2" s="179" t="s">
        <v>263</v>
      </c>
      <c r="AO2" s="179" t="s">
        <v>264</v>
      </c>
      <c r="AP2" s="179" t="s">
        <v>265</v>
      </c>
      <c r="AML2"/>
    </row>
    <row r="3" spans="1:72 1026:1026" ht="22.7" customHeight="1">
      <c r="A3" s="118" t="s">
        <v>32</v>
      </c>
      <c r="B3" s="119" t="s">
        <v>33</v>
      </c>
      <c r="C3" s="210" t="s">
        <v>277</v>
      </c>
      <c r="D3" s="13"/>
      <c r="E3" s="168" t="s">
        <v>36</v>
      </c>
      <c r="F3" s="17" t="s">
        <v>266</v>
      </c>
      <c r="G3" s="13" t="s">
        <v>138</v>
      </c>
      <c r="H3" s="13" t="s">
        <v>34</v>
      </c>
      <c r="I3" s="13" t="s">
        <v>139</v>
      </c>
      <c r="J3" s="15" t="s">
        <v>167</v>
      </c>
      <c r="K3" s="13" t="s">
        <v>140</v>
      </c>
      <c r="L3" s="15" t="s">
        <v>37</v>
      </c>
      <c r="M3" s="15" t="s">
        <v>173</v>
      </c>
      <c r="N3" s="13" t="s">
        <v>40</v>
      </c>
      <c r="O3" s="13" t="s">
        <v>40</v>
      </c>
      <c r="P3" s="13" t="s">
        <v>40</v>
      </c>
      <c r="Q3" s="13" t="s">
        <v>41</v>
      </c>
      <c r="R3" s="13" t="s">
        <v>42</v>
      </c>
      <c r="S3" s="16" t="s">
        <v>46</v>
      </c>
      <c r="T3" s="13" t="s">
        <v>43</v>
      </c>
      <c r="U3" s="13" t="s">
        <v>50</v>
      </c>
      <c r="V3" s="13" t="s">
        <v>48</v>
      </c>
      <c r="W3" s="13" t="s">
        <v>48</v>
      </c>
      <c r="X3" s="13" t="s">
        <v>48</v>
      </c>
      <c r="Y3" s="13" t="s">
        <v>49</v>
      </c>
      <c r="AB3" s="13" t="s">
        <v>40</v>
      </c>
      <c r="AC3" s="13" t="s">
        <v>40</v>
      </c>
      <c r="AD3" s="13" t="s">
        <v>267</v>
      </c>
      <c r="AE3" s="13" t="s">
        <v>42</v>
      </c>
      <c r="AF3" s="13" t="s">
        <v>42</v>
      </c>
      <c r="AG3" s="13" t="s">
        <v>40</v>
      </c>
      <c r="AH3" s="13" t="s">
        <v>48</v>
      </c>
      <c r="AI3" s="13" t="s">
        <v>40</v>
      </c>
      <c r="AJ3" s="13" t="s">
        <v>40</v>
      </c>
      <c r="AK3" s="13" t="s">
        <v>40</v>
      </c>
      <c r="AL3" s="13" t="s">
        <v>40</v>
      </c>
      <c r="AM3" s="13" t="s">
        <v>40</v>
      </c>
      <c r="AN3" s="13" t="s">
        <v>48</v>
      </c>
      <c r="AO3" s="13" t="s">
        <v>48</v>
      </c>
      <c r="AP3" s="13" t="s">
        <v>48</v>
      </c>
      <c r="AQ3" s="5"/>
      <c r="AR3" s="5"/>
      <c r="AS3" s="5"/>
      <c r="AT3" s="5"/>
      <c r="AU3" s="5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0"/>
      <c r="BP3" s="180"/>
      <c r="BQ3" s="180"/>
      <c r="BR3" s="180"/>
      <c r="BS3" s="180"/>
      <c r="BT3" s="180"/>
    </row>
    <row r="4" spans="1:72 1026:1026" ht="22.7" customHeight="1" thickBot="1">
      <c r="A4" s="118" t="s">
        <v>225</v>
      </c>
      <c r="B4" s="120"/>
      <c r="C4" s="211" t="s">
        <v>266</v>
      </c>
      <c r="D4" s="14"/>
      <c r="E4" s="17" t="s">
        <v>148</v>
      </c>
      <c r="F4" s="17" t="s">
        <v>56</v>
      </c>
      <c r="G4" s="14" t="s">
        <v>56</v>
      </c>
      <c r="H4" s="14" t="s">
        <v>56</v>
      </c>
      <c r="I4" s="14" t="s">
        <v>56</v>
      </c>
      <c r="J4" s="14" t="s">
        <v>56</v>
      </c>
      <c r="K4" s="14" t="s">
        <v>56</v>
      </c>
      <c r="L4" s="14" t="s">
        <v>56</v>
      </c>
      <c r="M4" s="14" t="s">
        <v>56</v>
      </c>
      <c r="N4" s="14" t="s">
        <v>56</v>
      </c>
      <c r="O4" s="13" t="s">
        <v>56</v>
      </c>
      <c r="P4" s="13" t="s">
        <v>56</v>
      </c>
      <c r="Q4" s="14" t="s">
        <v>56</v>
      </c>
      <c r="R4" s="14" t="s">
        <v>56</v>
      </c>
      <c r="S4" s="14" t="s">
        <v>56</v>
      </c>
      <c r="T4" s="14" t="s">
        <v>56</v>
      </c>
      <c r="U4" s="14" t="s">
        <v>56</v>
      </c>
      <c r="V4" s="14" t="s">
        <v>56</v>
      </c>
      <c r="W4" s="14" t="s">
        <v>56</v>
      </c>
      <c r="X4" s="14" t="s">
        <v>56</v>
      </c>
      <c r="Y4" s="14" t="s">
        <v>56</v>
      </c>
      <c r="AB4" s="13" t="s">
        <v>158</v>
      </c>
      <c r="AC4" s="13" t="s">
        <v>56</v>
      </c>
      <c r="AD4" s="13" t="s">
        <v>266</v>
      </c>
      <c r="AE4" s="14" t="s">
        <v>61</v>
      </c>
      <c r="AF4" s="14" t="s">
        <v>61</v>
      </c>
      <c r="AG4" s="13" t="s">
        <v>266</v>
      </c>
      <c r="AH4" s="14" t="s">
        <v>56</v>
      </c>
      <c r="AI4" s="13" t="s">
        <v>56</v>
      </c>
      <c r="AJ4" s="13" t="s">
        <v>56</v>
      </c>
      <c r="AK4" s="13" t="s">
        <v>158</v>
      </c>
      <c r="AL4" s="13" t="s">
        <v>158</v>
      </c>
      <c r="AM4" s="13" t="s">
        <v>56</v>
      </c>
      <c r="AN4" s="14" t="s">
        <v>56</v>
      </c>
      <c r="AO4" s="14" t="s">
        <v>56</v>
      </c>
      <c r="AP4" s="14" t="s">
        <v>56</v>
      </c>
      <c r="AQ4" s="5"/>
      <c r="AR4" s="5"/>
      <c r="AS4" s="5"/>
      <c r="AT4" s="5"/>
      <c r="AU4" s="5"/>
    </row>
    <row r="5" spans="1:72 1026:1026" ht="22.7" customHeight="1" thickBot="1">
      <c r="A5" s="118" t="s">
        <v>62</v>
      </c>
      <c r="B5" s="121"/>
      <c r="C5" s="212">
        <v>9.0000000000000002E-6</v>
      </c>
      <c r="D5" s="19"/>
      <c r="E5" s="20">
        <v>7.9999999999999996E-6</v>
      </c>
      <c r="F5" s="17" t="s">
        <v>158</v>
      </c>
      <c r="G5" s="19">
        <v>0.32400000000000001</v>
      </c>
      <c r="H5" s="19">
        <v>0.32400000000000001</v>
      </c>
      <c r="I5" s="19">
        <v>0.32400000000000001</v>
      </c>
      <c r="J5" s="19">
        <v>0.32400000000000001</v>
      </c>
      <c r="K5" s="19">
        <v>0.32400000000000001</v>
      </c>
      <c r="L5" s="19">
        <v>0.30599999999999999</v>
      </c>
      <c r="M5" s="19">
        <v>0.21199999999999999</v>
      </c>
      <c r="N5" s="19">
        <v>0.2</v>
      </c>
      <c r="O5" s="19">
        <v>0.2</v>
      </c>
      <c r="P5" s="19">
        <v>0.2</v>
      </c>
      <c r="Q5" s="19">
        <v>0.2</v>
      </c>
      <c r="R5" s="19">
        <v>0.2</v>
      </c>
      <c r="S5" s="19">
        <v>6.0000000000000001E-3</v>
      </c>
      <c r="T5" s="19">
        <v>0.17899999999999999</v>
      </c>
      <c r="U5" s="19">
        <v>0.17899999999999999</v>
      </c>
      <c r="V5" s="19">
        <v>0.22700000000000001</v>
      </c>
      <c r="W5" s="19">
        <v>0.22700000000000001</v>
      </c>
      <c r="X5" s="19">
        <v>0.22700000000000001</v>
      </c>
      <c r="Y5" s="19">
        <v>0.22700000000000001</v>
      </c>
      <c r="AB5" s="19">
        <v>0.2</v>
      </c>
      <c r="AC5" s="19">
        <v>0.2</v>
      </c>
      <c r="AD5" s="13" t="s">
        <v>56</v>
      </c>
      <c r="AE5" s="19">
        <v>0.2</v>
      </c>
      <c r="AF5" s="19">
        <v>0.2</v>
      </c>
      <c r="AG5" s="19">
        <v>0.2</v>
      </c>
      <c r="AH5" s="19">
        <v>0.22700000000000001</v>
      </c>
      <c r="AI5" s="19">
        <v>0.2</v>
      </c>
      <c r="AJ5" s="19">
        <v>0.2</v>
      </c>
      <c r="AK5" s="19">
        <v>0.2</v>
      </c>
      <c r="AL5" s="19">
        <v>0.2</v>
      </c>
      <c r="AM5" s="19">
        <v>0.2</v>
      </c>
      <c r="AN5" s="19">
        <v>0.22700000000000001</v>
      </c>
      <c r="AO5" s="19">
        <v>0.22700000000000001</v>
      </c>
      <c r="AP5" s="19">
        <v>0.22700000000000001</v>
      </c>
      <c r="AQ5" s="5"/>
      <c r="AR5" s="5"/>
      <c r="AS5" s="5"/>
      <c r="AT5" s="5"/>
      <c r="AU5" s="5"/>
    </row>
    <row r="6" spans="1:72 1026:1026" ht="22.7" customHeight="1" thickBot="1">
      <c r="A6" s="122" t="s">
        <v>63</v>
      </c>
      <c r="B6" s="121"/>
      <c r="C6" s="213">
        <v>1</v>
      </c>
      <c r="D6" s="182"/>
      <c r="E6" s="181">
        <v>2</v>
      </c>
      <c r="F6" s="17" t="s">
        <v>61</v>
      </c>
      <c r="G6" s="182">
        <v>2</v>
      </c>
      <c r="H6" s="182">
        <v>2</v>
      </c>
      <c r="I6" s="182">
        <v>2</v>
      </c>
      <c r="J6" s="182">
        <v>2</v>
      </c>
      <c r="K6" s="182">
        <v>2</v>
      </c>
      <c r="L6" s="182">
        <v>2</v>
      </c>
      <c r="M6" s="182">
        <v>2</v>
      </c>
      <c r="N6" s="182">
        <v>2</v>
      </c>
      <c r="O6" s="182">
        <v>2</v>
      </c>
      <c r="P6" s="182">
        <v>2</v>
      </c>
      <c r="Q6" s="182">
        <v>2</v>
      </c>
      <c r="R6" s="182">
        <v>2</v>
      </c>
      <c r="S6" s="182">
        <v>2</v>
      </c>
      <c r="T6" s="182">
        <v>2</v>
      </c>
      <c r="U6" s="182">
        <v>2</v>
      </c>
      <c r="V6" s="182">
        <v>2</v>
      </c>
      <c r="W6" s="13">
        <v>2</v>
      </c>
      <c r="X6" s="13">
        <v>2</v>
      </c>
      <c r="Y6" s="182">
        <v>2</v>
      </c>
      <c r="AB6" s="182">
        <v>2</v>
      </c>
      <c r="AC6" s="182">
        <v>2</v>
      </c>
      <c r="AD6" s="13" t="s">
        <v>158</v>
      </c>
      <c r="AE6" s="182">
        <v>2</v>
      </c>
      <c r="AF6" s="182">
        <v>2</v>
      </c>
      <c r="AG6" s="182">
        <v>2</v>
      </c>
      <c r="AH6" s="13">
        <v>2</v>
      </c>
      <c r="AI6" s="182">
        <v>2</v>
      </c>
      <c r="AJ6" s="182">
        <v>2</v>
      </c>
      <c r="AK6" s="182">
        <v>2</v>
      </c>
      <c r="AL6" s="182">
        <v>2</v>
      </c>
      <c r="AM6" s="182">
        <v>2</v>
      </c>
      <c r="AN6" s="13">
        <v>2</v>
      </c>
      <c r="AO6" s="13">
        <v>2</v>
      </c>
      <c r="AP6" s="13">
        <v>2</v>
      </c>
      <c r="AQ6" s="5"/>
      <c r="AR6" s="5"/>
      <c r="AS6" s="5"/>
      <c r="AT6" s="5"/>
      <c r="AU6" s="5"/>
    </row>
    <row r="7" spans="1:72 1026:1026" ht="22.7" customHeight="1">
      <c r="A7" s="122" t="s">
        <v>64</v>
      </c>
      <c r="B7" s="121"/>
      <c r="C7" s="214">
        <v>20</v>
      </c>
      <c r="D7" s="184"/>
      <c r="E7" s="183">
        <v>70</v>
      </c>
      <c r="F7" s="17" t="s">
        <v>156</v>
      </c>
      <c r="G7" s="184">
        <v>20</v>
      </c>
      <c r="H7" s="184">
        <v>10</v>
      </c>
      <c r="I7" s="184">
        <v>20</v>
      </c>
      <c r="J7" s="184">
        <v>40</v>
      </c>
      <c r="K7" s="184">
        <v>10</v>
      </c>
      <c r="L7" s="184">
        <v>25</v>
      </c>
      <c r="M7" s="184">
        <v>20</v>
      </c>
      <c r="N7" s="184">
        <v>10</v>
      </c>
      <c r="O7" s="184">
        <v>15</v>
      </c>
      <c r="P7" s="184">
        <v>15</v>
      </c>
      <c r="Q7" s="184">
        <v>30</v>
      </c>
      <c r="R7" s="184">
        <v>10</v>
      </c>
      <c r="S7" s="184">
        <v>20</v>
      </c>
      <c r="T7" s="184">
        <v>20</v>
      </c>
      <c r="U7" s="184">
        <v>10</v>
      </c>
      <c r="V7" s="184">
        <v>10</v>
      </c>
      <c r="W7" s="25">
        <v>10</v>
      </c>
      <c r="X7" s="25">
        <v>10</v>
      </c>
      <c r="Y7" s="184">
        <v>15</v>
      </c>
      <c r="AB7" s="184">
        <v>10</v>
      </c>
      <c r="AC7" s="184">
        <v>25</v>
      </c>
      <c r="AD7" s="14" t="s">
        <v>61</v>
      </c>
      <c r="AE7" s="184">
        <v>70</v>
      </c>
      <c r="AF7" s="184">
        <v>50</v>
      </c>
      <c r="AG7" s="184">
        <v>10</v>
      </c>
      <c r="AH7" s="25">
        <v>10</v>
      </c>
      <c r="AI7" s="184">
        <v>25</v>
      </c>
      <c r="AJ7" s="184">
        <v>25</v>
      </c>
      <c r="AK7" s="184">
        <v>10</v>
      </c>
      <c r="AL7" s="184">
        <v>10</v>
      </c>
      <c r="AM7" s="184">
        <v>15</v>
      </c>
      <c r="AN7" s="25">
        <v>10</v>
      </c>
      <c r="AO7" s="25">
        <v>10</v>
      </c>
      <c r="AP7" s="25">
        <v>10</v>
      </c>
      <c r="AQ7" s="5"/>
      <c r="AR7" s="5"/>
      <c r="AS7" s="5"/>
      <c r="AT7" s="5"/>
      <c r="AU7" s="5"/>
    </row>
    <row r="8" spans="1:72 1026:1026" ht="22.7" customHeight="1">
      <c r="A8" s="122" t="s">
        <v>66</v>
      </c>
      <c r="B8" s="119" t="s">
        <v>226</v>
      </c>
      <c r="C8" s="213">
        <v>100</v>
      </c>
      <c r="D8" s="182"/>
      <c r="E8" s="181">
        <v>100</v>
      </c>
      <c r="F8" s="17" t="s">
        <v>155</v>
      </c>
      <c r="G8" s="182">
        <v>98</v>
      </c>
      <c r="H8" s="182">
        <v>100</v>
      </c>
      <c r="I8" s="182">
        <v>99</v>
      </c>
      <c r="J8" s="182">
        <v>98</v>
      </c>
      <c r="K8" s="182">
        <v>95</v>
      </c>
      <c r="L8" s="182">
        <v>98</v>
      </c>
      <c r="M8" s="182">
        <v>98</v>
      </c>
      <c r="N8" s="182">
        <v>100</v>
      </c>
      <c r="O8" s="182">
        <v>100</v>
      </c>
      <c r="P8" s="182">
        <v>100</v>
      </c>
      <c r="Q8" s="182">
        <v>98</v>
      </c>
      <c r="R8" s="182">
        <v>99</v>
      </c>
      <c r="S8" s="182">
        <v>95</v>
      </c>
      <c r="T8" s="182">
        <v>99</v>
      </c>
      <c r="U8" s="182">
        <v>99</v>
      </c>
      <c r="V8" s="182">
        <v>95</v>
      </c>
      <c r="W8" s="13">
        <v>95</v>
      </c>
      <c r="X8" s="13">
        <v>95</v>
      </c>
      <c r="Y8" s="182">
        <v>99</v>
      </c>
      <c r="AB8" s="182">
        <v>100</v>
      </c>
      <c r="AC8" s="182">
        <v>100</v>
      </c>
      <c r="AD8" s="13" t="s">
        <v>156</v>
      </c>
      <c r="AE8" s="182">
        <v>100</v>
      </c>
      <c r="AF8" s="182">
        <v>100</v>
      </c>
      <c r="AG8" s="182">
        <v>100</v>
      </c>
      <c r="AH8" s="13">
        <v>95</v>
      </c>
      <c r="AI8" s="182">
        <v>100</v>
      </c>
      <c r="AJ8" s="182">
        <v>100</v>
      </c>
      <c r="AK8" s="182">
        <v>100</v>
      </c>
      <c r="AL8" s="182">
        <v>100</v>
      </c>
      <c r="AM8" s="182">
        <v>100</v>
      </c>
      <c r="AN8" s="13">
        <v>95</v>
      </c>
      <c r="AO8" s="13">
        <v>95</v>
      </c>
      <c r="AP8" s="13">
        <v>95</v>
      </c>
      <c r="AQ8" s="5"/>
      <c r="AR8" s="5"/>
      <c r="AS8" s="5"/>
      <c r="AT8" s="5"/>
      <c r="AU8" s="5"/>
    </row>
    <row r="9" spans="1:72 1026:1026" ht="22.7" customHeight="1">
      <c r="A9" s="122" t="s">
        <v>67</v>
      </c>
      <c r="B9" s="121"/>
      <c r="C9" s="213">
        <v>1</v>
      </c>
      <c r="D9" s="182"/>
      <c r="E9" s="185">
        <v>1200</v>
      </c>
      <c r="F9" s="17" t="s">
        <v>154</v>
      </c>
      <c r="G9" s="182">
        <v>10</v>
      </c>
      <c r="H9" s="182">
        <v>10</v>
      </c>
      <c r="I9" s="182">
        <v>6</v>
      </c>
      <c r="J9" s="182">
        <v>6</v>
      </c>
      <c r="K9" s="182">
        <v>5</v>
      </c>
      <c r="L9" s="182">
        <v>6</v>
      </c>
      <c r="M9" s="182">
        <v>6</v>
      </c>
      <c r="N9" s="182">
        <v>12</v>
      </c>
      <c r="O9" s="182">
        <v>1</v>
      </c>
      <c r="P9" s="182">
        <v>1</v>
      </c>
      <c r="Q9" s="182">
        <v>16</v>
      </c>
      <c r="R9" s="182">
        <v>10</v>
      </c>
      <c r="S9" s="182">
        <v>16</v>
      </c>
      <c r="T9" s="182">
        <v>7</v>
      </c>
      <c r="U9" s="182">
        <v>16</v>
      </c>
      <c r="V9" s="182">
        <v>10</v>
      </c>
      <c r="W9" s="13">
        <v>10</v>
      </c>
      <c r="X9" s="13">
        <v>10</v>
      </c>
      <c r="Y9" s="182">
        <v>10</v>
      </c>
      <c r="AB9" s="182">
        <v>10</v>
      </c>
      <c r="AC9" s="182">
        <v>1</v>
      </c>
      <c r="AE9" s="182">
        <v>1</v>
      </c>
      <c r="AF9" s="182">
        <v>1</v>
      </c>
      <c r="AG9" s="182">
        <v>1</v>
      </c>
      <c r="AH9" s="13">
        <v>10</v>
      </c>
      <c r="AI9" s="182">
        <v>1</v>
      </c>
      <c r="AJ9" s="182">
        <v>1</v>
      </c>
      <c r="AK9" s="182">
        <v>10</v>
      </c>
      <c r="AL9" s="182">
        <v>10</v>
      </c>
      <c r="AM9" s="182">
        <v>1</v>
      </c>
      <c r="AN9" s="13">
        <v>10</v>
      </c>
      <c r="AO9" s="13">
        <v>10</v>
      </c>
      <c r="AP9" s="13">
        <v>10</v>
      </c>
      <c r="AQ9" s="5"/>
      <c r="AR9" s="5"/>
      <c r="AS9" s="5"/>
      <c r="AT9" s="5"/>
      <c r="AU9" s="5"/>
    </row>
    <row r="10" spans="1:72 1026:1026" ht="22.7" customHeight="1">
      <c r="A10" s="122" t="s">
        <v>68</v>
      </c>
      <c r="B10" s="121"/>
      <c r="C10" s="213">
        <v>500</v>
      </c>
      <c r="D10" s="182"/>
      <c r="E10" s="185">
        <v>200000</v>
      </c>
      <c r="F10" s="17" t="s">
        <v>153</v>
      </c>
      <c r="G10" s="182">
        <v>200</v>
      </c>
      <c r="H10" s="182">
        <v>200</v>
      </c>
      <c r="I10" s="182">
        <v>200</v>
      </c>
      <c r="J10" s="182">
        <v>200</v>
      </c>
      <c r="K10" s="182">
        <v>500</v>
      </c>
      <c r="L10" s="182">
        <v>500</v>
      </c>
      <c r="M10" s="182">
        <v>500</v>
      </c>
      <c r="N10" s="182">
        <v>200</v>
      </c>
      <c r="O10" s="182">
        <v>150</v>
      </c>
      <c r="P10" s="182">
        <v>150</v>
      </c>
      <c r="Q10" s="182">
        <v>500</v>
      </c>
      <c r="R10" s="182">
        <v>100</v>
      </c>
      <c r="S10" s="182">
        <v>500</v>
      </c>
      <c r="T10" s="182">
        <v>200</v>
      </c>
      <c r="U10" s="182">
        <v>100</v>
      </c>
      <c r="V10" s="182">
        <v>200</v>
      </c>
      <c r="W10" s="13">
        <v>200</v>
      </c>
      <c r="X10" s="13">
        <v>200</v>
      </c>
      <c r="Y10" s="182">
        <v>200</v>
      </c>
      <c r="AB10" s="182">
        <v>70</v>
      </c>
      <c r="AC10" s="182">
        <v>600</v>
      </c>
      <c r="AE10" s="182">
        <v>600</v>
      </c>
      <c r="AF10" s="182">
        <v>600</v>
      </c>
      <c r="AG10" s="182">
        <v>600</v>
      </c>
      <c r="AH10" s="13">
        <v>200</v>
      </c>
      <c r="AI10" s="182">
        <v>600</v>
      </c>
      <c r="AJ10" s="182">
        <v>600</v>
      </c>
      <c r="AK10" s="182">
        <v>70</v>
      </c>
      <c r="AL10" s="182">
        <v>70</v>
      </c>
      <c r="AM10" s="182">
        <v>150</v>
      </c>
      <c r="AN10" s="13">
        <v>200</v>
      </c>
      <c r="AO10" s="13">
        <v>200</v>
      </c>
      <c r="AP10" s="13">
        <v>200</v>
      </c>
      <c r="AQ10" s="5"/>
      <c r="AR10" s="5"/>
      <c r="AS10" s="5"/>
      <c r="AT10" s="5"/>
      <c r="AU10" s="5"/>
    </row>
    <row r="11" spans="1:72 1026:1026" ht="22.7" customHeight="1">
      <c r="A11" s="122" t="s">
        <v>69</v>
      </c>
      <c r="B11" s="121"/>
      <c r="C11" s="213">
        <v>10</v>
      </c>
      <c r="D11" s="182"/>
      <c r="E11" s="185">
        <v>500</v>
      </c>
      <c r="F11" s="17"/>
      <c r="G11" s="182">
        <v>10</v>
      </c>
      <c r="H11" s="182">
        <v>5</v>
      </c>
      <c r="I11" s="182">
        <v>8</v>
      </c>
      <c r="J11" s="182">
        <v>6</v>
      </c>
      <c r="K11" s="182">
        <v>4</v>
      </c>
      <c r="L11" s="182">
        <v>15</v>
      </c>
      <c r="M11" s="182">
        <v>10</v>
      </c>
      <c r="N11" s="182">
        <v>6</v>
      </c>
      <c r="O11" s="182">
        <v>10</v>
      </c>
      <c r="P11" s="182">
        <v>10</v>
      </c>
      <c r="Q11" s="182">
        <v>6</v>
      </c>
      <c r="R11" s="182">
        <v>6</v>
      </c>
      <c r="S11" s="182">
        <v>10</v>
      </c>
      <c r="T11" s="182">
        <v>8</v>
      </c>
      <c r="U11" s="182">
        <v>8</v>
      </c>
      <c r="V11" s="182">
        <v>10</v>
      </c>
      <c r="W11" s="13">
        <v>10</v>
      </c>
      <c r="X11" s="13">
        <v>10</v>
      </c>
      <c r="Y11" s="182">
        <v>8</v>
      </c>
      <c r="AB11" s="182">
        <v>10</v>
      </c>
      <c r="AC11" s="182">
        <v>10</v>
      </c>
      <c r="AE11" s="182">
        <v>10</v>
      </c>
      <c r="AF11" s="182">
        <v>10</v>
      </c>
      <c r="AG11" s="182">
        <v>10</v>
      </c>
      <c r="AH11" s="13">
        <v>10</v>
      </c>
      <c r="AI11" s="182">
        <v>10</v>
      </c>
      <c r="AJ11" s="182">
        <v>10</v>
      </c>
      <c r="AK11" s="182">
        <v>10</v>
      </c>
      <c r="AL11" s="182">
        <v>10</v>
      </c>
      <c r="AM11" s="182">
        <v>10</v>
      </c>
      <c r="AN11" s="13">
        <v>10</v>
      </c>
      <c r="AO11" s="13">
        <v>10</v>
      </c>
      <c r="AP11" s="13">
        <v>10</v>
      </c>
      <c r="AQ11" s="5"/>
      <c r="AR11" s="5"/>
      <c r="AS11" s="5"/>
      <c r="AT11" s="5"/>
      <c r="AU11" s="5"/>
    </row>
    <row r="12" spans="1:72 1026:1026" ht="22.7" customHeight="1" thickBot="1">
      <c r="A12" s="122" t="s">
        <v>70</v>
      </c>
      <c r="B12" s="121"/>
      <c r="C12" s="215">
        <v>500</v>
      </c>
      <c r="D12" s="187"/>
      <c r="E12" s="186">
        <v>200000</v>
      </c>
      <c r="F12" s="17"/>
      <c r="G12" s="187">
        <v>60</v>
      </c>
      <c r="H12" s="187">
        <v>50</v>
      </c>
      <c r="I12" s="187">
        <v>100</v>
      </c>
      <c r="J12" s="187">
        <v>100</v>
      </c>
      <c r="K12" s="187">
        <v>200</v>
      </c>
      <c r="L12" s="187">
        <v>300</v>
      </c>
      <c r="M12" s="187">
        <v>300</v>
      </c>
      <c r="N12" s="187">
        <v>100</v>
      </c>
      <c r="O12" s="187">
        <v>100</v>
      </c>
      <c r="P12" s="187">
        <v>100</v>
      </c>
      <c r="Q12" s="187">
        <v>60</v>
      </c>
      <c r="R12" s="187">
        <v>50</v>
      </c>
      <c r="S12" s="187">
        <v>200</v>
      </c>
      <c r="T12" s="187">
        <v>80</v>
      </c>
      <c r="U12" s="187">
        <v>70</v>
      </c>
      <c r="V12" s="187">
        <v>80</v>
      </c>
      <c r="W12" s="32">
        <v>80</v>
      </c>
      <c r="X12" s="32">
        <v>80</v>
      </c>
      <c r="Y12" s="187">
        <v>100</v>
      </c>
      <c r="AB12" s="187">
        <v>50</v>
      </c>
      <c r="AC12" s="187">
        <v>400</v>
      </c>
      <c r="AE12" s="187">
        <v>400</v>
      </c>
      <c r="AF12" s="187">
        <v>400</v>
      </c>
      <c r="AG12" s="187">
        <v>400</v>
      </c>
      <c r="AH12" s="32">
        <v>80</v>
      </c>
      <c r="AI12" s="187">
        <v>400</v>
      </c>
      <c r="AJ12" s="187">
        <v>400</v>
      </c>
      <c r="AK12" s="187">
        <v>50</v>
      </c>
      <c r="AL12" s="187">
        <v>50</v>
      </c>
      <c r="AM12" s="187">
        <v>100</v>
      </c>
      <c r="AN12" s="32">
        <v>80</v>
      </c>
      <c r="AO12" s="32">
        <v>80</v>
      </c>
      <c r="AP12" s="32">
        <v>80</v>
      </c>
      <c r="AQ12" s="5"/>
      <c r="AR12" s="5"/>
      <c r="AS12" s="5"/>
      <c r="AT12" s="5"/>
      <c r="AU12" s="5"/>
    </row>
    <row r="13" spans="1:72 1026:1026" ht="22.7" customHeight="1">
      <c r="A13" s="123" t="s">
        <v>71</v>
      </c>
      <c r="B13" s="124"/>
      <c r="C13" s="213">
        <v>60</v>
      </c>
      <c r="D13" s="182"/>
      <c r="E13" s="185">
        <v>0</v>
      </c>
      <c r="F13" s="17"/>
      <c r="G13" s="182">
        <v>14</v>
      </c>
      <c r="H13" s="182">
        <v>12</v>
      </c>
      <c r="I13" s="182">
        <v>8</v>
      </c>
      <c r="J13" s="182">
        <v>11</v>
      </c>
      <c r="K13" s="182">
        <v>17</v>
      </c>
      <c r="L13" s="182">
        <v>8</v>
      </c>
      <c r="M13" s="182">
        <v>18</v>
      </c>
      <c r="N13" s="182">
        <v>10</v>
      </c>
      <c r="O13" s="182">
        <v>20</v>
      </c>
      <c r="P13" s="182">
        <v>20</v>
      </c>
      <c r="Q13" s="182">
        <v>21</v>
      </c>
      <c r="R13" s="182">
        <v>8</v>
      </c>
      <c r="S13" s="182">
        <v>50</v>
      </c>
      <c r="T13" s="182">
        <v>8</v>
      </c>
      <c r="U13" s="182">
        <v>12</v>
      </c>
      <c r="V13" s="182">
        <v>20</v>
      </c>
      <c r="W13" s="13">
        <v>20</v>
      </c>
      <c r="X13" s="13">
        <v>20</v>
      </c>
      <c r="Y13" s="182">
        <v>13</v>
      </c>
      <c r="AB13" s="182">
        <v>20</v>
      </c>
      <c r="AC13" s="182">
        <v>14</v>
      </c>
      <c r="AE13" s="182">
        <v>0</v>
      </c>
      <c r="AF13" s="182">
        <v>0</v>
      </c>
      <c r="AG13" s="182">
        <v>0</v>
      </c>
      <c r="AH13" s="13">
        <v>20</v>
      </c>
      <c r="AI13" s="182">
        <v>14</v>
      </c>
      <c r="AJ13" s="182">
        <v>14</v>
      </c>
      <c r="AK13" s="182">
        <v>20</v>
      </c>
      <c r="AL13" s="182">
        <v>20</v>
      </c>
      <c r="AM13" s="182">
        <v>20</v>
      </c>
      <c r="AN13" s="13">
        <v>20</v>
      </c>
      <c r="AO13" s="13">
        <v>20</v>
      </c>
      <c r="AP13" s="13">
        <v>20</v>
      </c>
      <c r="AQ13" s="5"/>
      <c r="AR13" s="5"/>
      <c r="AS13" s="5"/>
      <c r="AT13" s="5"/>
      <c r="AU13" s="5"/>
    </row>
    <row r="14" spans="1:72 1026:1026" ht="22.7" customHeight="1" thickBot="1">
      <c r="A14" s="125" t="s">
        <v>227</v>
      </c>
      <c r="B14" s="126"/>
      <c r="C14" s="213">
        <v>0</v>
      </c>
      <c r="D14" s="182"/>
      <c r="E14" s="181">
        <v>0</v>
      </c>
      <c r="F14" s="17"/>
      <c r="G14" s="182">
        <v>0</v>
      </c>
      <c r="H14" s="182">
        <v>60</v>
      </c>
      <c r="I14" s="182">
        <v>100</v>
      </c>
      <c r="J14" s="182">
        <v>0</v>
      </c>
      <c r="K14" s="182">
        <v>0</v>
      </c>
      <c r="L14" s="182">
        <v>40</v>
      </c>
      <c r="M14" s="182">
        <v>0</v>
      </c>
      <c r="N14" s="182">
        <v>90</v>
      </c>
      <c r="O14" s="182">
        <v>80</v>
      </c>
      <c r="P14" s="182">
        <v>80</v>
      </c>
      <c r="Q14" s="182">
        <v>0</v>
      </c>
      <c r="R14" s="182">
        <v>0</v>
      </c>
      <c r="S14" s="182">
        <v>0</v>
      </c>
      <c r="T14" s="182">
        <v>100</v>
      </c>
      <c r="U14" s="182">
        <v>50</v>
      </c>
      <c r="V14" s="182">
        <v>100</v>
      </c>
      <c r="W14" s="13">
        <v>100</v>
      </c>
      <c r="X14" s="13">
        <v>100</v>
      </c>
      <c r="Y14" s="182">
        <v>40</v>
      </c>
      <c r="AB14" s="182">
        <v>80</v>
      </c>
      <c r="AC14" s="182">
        <v>0</v>
      </c>
      <c r="AE14" s="182">
        <v>0</v>
      </c>
      <c r="AF14" s="182">
        <v>0</v>
      </c>
      <c r="AG14" s="182">
        <v>0</v>
      </c>
      <c r="AH14" s="13">
        <v>100</v>
      </c>
      <c r="AI14" s="182">
        <v>0</v>
      </c>
      <c r="AJ14" s="182">
        <v>0</v>
      </c>
      <c r="AK14" s="182">
        <v>80</v>
      </c>
      <c r="AL14" s="182">
        <v>80</v>
      </c>
      <c r="AM14" s="182">
        <v>80</v>
      </c>
      <c r="AN14" s="13">
        <v>100</v>
      </c>
      <c r="AO14" s="13">
        <v>100</v>
      </c>
      <c r="AP14" s="13">
        <v>100</v>
      </c>
      <c r="AQ14" s="5"/>
      <c r="AR14" s="5"/>
      <c r="AS14" s="5"/>
      <c r="AT14" s="5"/>
      <c r="AU14" s="5"/>
    </row>
    <row r="15" spans="1:72 1026:1026" ht="22.7" customHeight="1">
      <c r="A15" s="127" t="s">
        <v>73</v>
      </c>
      <c r="B15" s="128"/>
      <c r="C15" s="214">
        <v>20</v>
      </c>
      <c r="D15" s="184"/>
      <c r="E15" s="188">
        <v>400</v>
      </c>
      <c r="F15" s="17"/>
      <c r="G15" s="184">
        <v>5</v>
      </c>
      <c r="H15" s="184">
        <v>0</v>
      </c>
      <c r="I15" s="184">
        <v>10</v>
      </c>
      <c r="J15" s="184">
        <v>10</v>
      </c>
      <c r="K15" s="184">
        <v>5</v>
      </c>
      <c r="L15" s="184">
        <v>20</v>
      </c>
      <c r="M15" s="184">
        <v>0</v>
      </c>
      <c r="N15" s="184">
        <v>0</v>
      </c>
      <c r="O15" s="184">
        <v>5</v>
      </c>
      <c r="P15" s="184">
        <v>5</v>
      </c>
      <c r="Q15" s="184">
        <v>0</v>
      </c>
      <c r="R15" s="184">
        <v>5</v>
      </c>
      <c r="S15" s="184">
        <v>0</v>
      </c>
      <c r="T15" s="184">
        <v>5</v>
      </c>
      <c r="U15" s="184">
        <v>30</v>
      </c>
      <c r="V15" s="184">
        <v>0</v>
      </c>
      <c r="W15" s="25">
        <v>0</v>
      </c>
      <c r="X15" s="25">
        <v>0</v>
      </c>
      <c r="Y15" s="184">
        <v>0</v>
      </c>
      <c r="AB15" s="184">
        <v>0</v>
      </c>
      <c r="AC15" s="184">
        <v>-14</v>
      </c>
      <c r="AE15" s="184">
        <v>4</v>
      </c>
      <c r="AF15" s="184">
        <v>4</v>
      </c>
      <c r="AG15" s="184">
        <v>0</v>
      </c>
      <c r="AH15" s="25">
        <v>0</v>
      </c>
      <c r="AI15" s="184">
        <v>-14</v>
      </c>
      <c r="AJ15" s="184">
        <v>0</v>
      </c>
      <c r="AK15" s="184">
        <v>0</v>
      </c>
      <c r="AL15" s="184">
        <v>0</v>
      </c>
      <c r="AM15" s="184">
        <v>5</v>
      </c>
      <c r="AN15" s="25">
        <v>0</v>
      </c>
      <c r="AO15" s="25">
        <v>0</v>
      </c>
      <c r="AP15" s="25">
        <v>0</v>
      </c>
      <c r="AQ15" s="5"/>
      <c r="AR15" s="5"/>
      <c r="AS15" s="5"/>
      <c r="AT15" s="5"/>
      <c r="AU15" s="5"/>
    </row>
    <row r="16" spans="1:72 1026:1026" ht="22.7" customHeight="1">
      <c r="A16" s="129" t="s">
        <v>74</v>
      </c>
      <c r="B16" s="130"/>
      <c r="C16" s="213">
        <v>40</v>
      </c>
      <c r="D16" s="182"/>
      <c r="E16" s="181">
        <v>0</v>
      </c>
      <c r="F16" s="17"/>
      <c r="G16" s="182">
        <v>50</v>
      </c>
      <c r="H16" s="182">
        <v>55</v>
      </c>
      <c r="I16" s="182">
        <v>20</v>
      </c>
      <c r="J16" s="182">
        <v>0</v>
      </c>
      <c r="K16" s="182">
        <v>65</v>
      </c>
      <c r="L16" s="182">
        <v>20</v>
      </c>
      <c r="M16" s="182">
        <v>50</v>
      </c>
      <c r="N16" s="182">
        <v>60</v>
      </c>
      <c r="O16" s="182">
        <v>40</v>
      </c>
      <c r="P16" s="182">
        <v>40</v>
      </c>
      <c r="Q16" s="182">
        <v>50</v>
      </c>
      <c r="R16" s="182">
        <v>45</v>
      </c>
      <c r="S16" s="182">
        <v>70</v>
      </c>
      <c r="T16" s="182">
        <v>50</v>
      </c>
      <c r="U16" s="182">
        <v>30</v>
      </c>
      <c r="V16" s="182">
        <v>60</v>
      </c>
      <c r="W16" s="13">
        <v>60</v>
      </c>
      <c r="X16" s="13">
        <v>60</v>
      </c>
      <c r="Y16" s="182">
        <v>60</v>
      </c>
      <c r="AB16" s="182">
        <v>55</v>
      </c>
      <c r="AC16" s="182">
        <v>50</v>
      </c>
      <c r="AE16" s="182">
        <v>0</v>
      </c>
      <c r="AF16" s="182">
        <v>0</v>
      </c>
      <c r="AG16" s="182">
        <v>50</v>
      </c>
      <c r="AH16" s="13">
        <v>60</v>
      </c>
      <c r="AI16" s="182">
        <v>50</v>
      </c>
      <c r="AJ16" s="182">
        <v>40</v>
      </c>
      <c r="AK16" s="182">
        <v>55</v>
      </c>
      <c r="AL16" s="182">
        <v>55</v>
      </c>
      <c r="AM16" s="182">
        <v>40</v>
      </c>
      <c r="AN16" s="13">
        <v>60</v>
      </c>
      <c r="AO16" s="13">
        <v>60</v>
      </c>
      <c r="AP16" s="13">
        <v>60</v>
      </c>
      <c r="AQ16" s="5"/>
      <c r="AR16" s="5"/>
      <c r="AS16" s="5"/>
      <c r="AT16" s="5"/>
      <c r="AU16" s="5"/>
    </row>
    <row r="17" spans="1:47" ht="22.7" customHeight="1">
      <c r="A17" s="131" t="s">
        <v>75</v>
      </c>
      <c r="B17" s="132"/>
      <c r="C17" s="213">
        <v>0</v>
      </c>
      <c r="D17" s="182"/>
      <c r="E17" s="181">
        <v>0</v>
      </c>
      <c r="F17" s="17"/>
      <c r="G17" s="182">
        <v>0</v>
      </c>
      <c r="H17" s="182">
        <v>0</v>
      </c>
      <c r="I17" s="182">
        <v>0</v>
      </c>
      <c r="J17" s="182">
        <v>0</v>
      </c>
      <c r="K17" s="182">
        <v>0</v>
      </c>
      <c r="L17" s="182">
        <v>0</v>
      </c>
      <c r="M17" s="182">
        <v>0</v>
      </c>
      <c r="N17" s="182">
        <v>0</v>
      </c>
      <c r="O17" s="182">
        <v>0</v>
      </c>
      <c r="P17" s="182">
        <v>0</v>
      </c>
      <c r="Q17" s="182">
        <v>0</v>
      </c>
      <c r="R17" s="182">
        <v>0</v>
      </c>
      <c r="S17" s="182">
        <v>0</v>
      </c>
      <c r="T17" s="182">
        <v>0</v>
      </c>
      <c r="U17" s="182">
        <v>0</v>
      </c>
      <c r="V17" s="182">
        <v>0</v>
      </c>
      <c r="W17" s="13">
        <v>0</v>
      </c>
      <c r="X17" s="13">
        <v>0</v>
      </c>
      <c r="Y17" s="182">
        <v>0</v>
      </c>
      <c r="AB17" s="182">
        <v>0</v>
      </c>
      <c r="AC17" s="182">
        <v>0</v>
      </c>
      <c r="AE17" s="182">
        <v>0</v>
      </c>
      <c r="AF17" s="182">
        <v>0</v>
      </c>
      <c r="AG17" s="182">
        <v>0</v>
      </c>
      <c r="AH17" s="13">
        <v>0</v>
      </c>
      <c r="AI17" s="182">
        <v>0</v>
      </c>
      <c r="AJ17" s="182">
        <v>0</v>
      </c>
      <c r="AK17" s="182">
        <v>0</v>
      </c>
      <c r="AL17" s="182">
        <v>0</v>
      </c>
      <c r="AM17" s="182">
        <v>0</v>
      </c>
      <c r="AN17" s="13">
        <v>0</v>
      </c>
      <c r="AO17" s="13">
        <v>0</v>
      </c>
      <c r="AP17" s="13">
        <v>0</v>
      </c>
      <c r="AQ17" s="5"/>
      <c r="AR17" s="5"/>
      <c r="AS17" s="5"/>
      <c r="AT17" s="5"/>
      <c r="AU17" s="5"/>
    </row>
    <row r="18" spans="1:47" ht="22.7" customHeight="1">
      <c r="A18" s="133" t="s">
        <v>76</v>
      </c>
      <c r="B18" s="134"/>
      <c r="C18" s="213">
        <v>0</v>
      </c>
      <c r="D18" s="182"/>
      <c r="E18" s="181">
        <v>0</v>
      </c>
      <c r="F18" s="17"/>
      <c r="G18" s="182">
        <v>0</v>
      </c>
      <c r="H18" s="182">
        <v>0</v>
      </c>
      <c r="I18" s="182">
        <v>0</v>
      </c>
      <c r="J18" s="182">
        <v>0</v>
      </c>
      <c r="K18" s="182">
        <v>0</v>
      </c>
      <c r="L18" s="182">
        <v>0</v>
      </c>
      <c r="M18" s="182">
        <v>0</v>
      </c>
      <c r="N18" s="182">
        <v>0</v>
      </c>
      <c r="O18" s="182">
        <v>0</v>
      </c>
      <c r="P18" s="182">
        <v>0</v>
      </c>
      <c r="Q18" s="182">
        <v>0</v>
      </c>
      <c r="R18" s="182">
        <v>0</v>
      </c>
      <c r="S18" s="182">
        <v>0</v>
      </c>
      <c r="T18" s="182">
        <v>0</v>
      </c>
      <c r="U18" s="182">
        <v>0</v>
      </c>
      <c r="V18" s="182">
        <v>0</v>
      </c>
      <c r="W18" s="13">
        <v>0</v>
      </c>
      <c r="X18" s="13">
        <v>0</v>
      </c>
      <c r="Y18" s="182">
        <v>0</v>
      </c>
      <c r="AB18" s="182">
        <v>0</v>
      </c>
      <c r="AC18" s="182">
        <v>0</v>
      </c>
      <c r="AE18" s="182">
        <v>0</v>
      </c>
      <c r="AF18" s="182">
        <v>0</v>
      </c>
      <c r="AG18" s="182">
        <v>0</v>
      </c>
      <c r="AH18" s="13">
        <v>0</v>
      </c>
      <c r="AI18" s="182">
        <v>0</v>
      </c>
      <c r="AJ18" s="182">
        <v>0</v>
      </c>
      <c r="AK18" s="182">
        <v>0</v>
      </c>
      <c r="AL18" s="182">
        <v>0</v>
      </c>
      <c r="AM18" s="182">
        <v>0</v>
      </c>
      <c r="AN18" s="13">
        <v>0</v>
      </c>
      <c r="AO18" s="13">
        <v>0</v>
      </c>
      <c r="AP18" s="13">
        <v>0</v>
      </c>
      <c r="AQ18" s="5"/>
      <c r="AR18" s="5"/>
      <c r="AS18" s="5"/>
      <c r="AT18" s="5"/>
      <c r="AU18" s="5"/>
    </row>
    <row r="19" spans="1:47" ht="22.7" customHeight="1">
      <c r="A19" s="135" t="s">
        <v>77</v>
      </c>
      <c r="B19" s="136"/>
      <c r="C19" s="213">
        <v>600</v>
      </c>
      <c r="D19" s="182"/>
      <c r="E19" s="181">
        <v>800</v>
      </c>
      <c r="F19" s="17"/>
      <c r="G19" s="182">
        <v>800</v>
      </c>
      <c r="H19" s="182">
        <v>800</v>
      </c>
      <c r="I19" s="182">
        <v>800</v>
      </c>
      <c r="J19" s="182">
        <v>600</v>
      </c>
      <c r="K19" s="182">
        <v>800</v>
      </c>
      <c r="L19" s="182">
        <v>800</v>
      </c>
      <c r="M19" s="182">
        <v>800</v>
      </c>
      <c r="N19" s="182">
        <v>800</v>
      </c>
      <c r="O19" s="182">
        <v>800</v>
      </c>
      <c r="P19" s="182">
        <v>800</v>
      </c>
      <c r="Q19" s="182">
        <v>600</v>
      </c>
      <c r="R19" s="182">
        <v>800</v>
      </c>
      <c r="S19" s="182">
        <v>800</v>
      </c>
      <c r="T19" s="182">
        <v>800</v>
      </c>
      <c r="U19" s="182">
        <v>800</v>
      </c>
      <c r="V19" s="182">
        <v>800</v>
      </c>
      <c r="W19" s="13">
        <v>800</v>
      </c>
      <c r="X19" s="13">
        <v>800</v>
      </c>
      <c r="Y19" s="182">
        <v>700</v>
      </c>
      <c r="AB19" s="182">
        <v>800</v>
      </c>
      <c r="AC19" s="182">
        <v>800</v>
      </c>
      <c r="AE19" s="182">
        <v>800</v>
      </c>
      <c r="AF19" s="182">
        <v>800</v>
      </c>
      <c r="AG19" s="182">
        <v>800</v>
      </c>
      <c r="AH19" s="13">
        <v>800</v>
      </c>
      <c r="AI19" s="182">
        <v>800</v>
      </c>
      <c r="AJ19" s="182">
        <v>800</v>
      </c>
      <c r="AK19" s="182">
        <v>800</v>
      </c>
      <c r="AL19" s="182">
        <v>800</v>
      </c>
      <c r="AM19" s="182">
        <v>800</v>
      </c>
      <c r="AN19" s="13">
        <v>800</v>
      </c>
      <c r="AO19" s="13">
        <v>800</v>
      </c>
      <c r="AP19" s="13">
        <v>800</v>
      </c>
      <c r="AQ19" s="5"/>
      <c r="AR19" s="5"/>
      <c r="AS19" s="5"/>
      <c r="AT19" s="5"/>
      <c r="AU19" s="5"/>
    </row>
    <row r="20" spans="1:47" ht="22.7" customHeight="1" thickBot="1">
      <c r="A20" s="137" t="s">
        <v>78</v>
      </c>
      <c r="B20" s="138"/>
      <c r="C20" s="215">
        <v>0</v>
      </c>
      <c r="D20" s="187"/>
      <c r="E20" s="189">
        <v>0</v>
      </c>
      <c r="F20" s="17"/>
      <c r="G20" s="187">
        <v>0</v>
      </c>
      <c r="H20" s="187">
        <v>0</v>
      </c>
      <c r="I20" s="187">
        <v>0</v>
      </c>
      <c r="J20" s="187">
        <v>0</v>
      </c>
      <c r="K20" s="187">
        <v>0</v>
      </c>
      <c r="L20" s="187">
        <v>0</v>
      </c>
      <c r="M20" s="187">
        <v>0</v>
      </c>
      <c r="N20" s="187">
        <v>0</v>
      </c>
      <c r="O20" s="187">
        <v>0</v>
      </c>
      <c r="P20" s="187">
        <v>0</v>
      </c>
      <c r="Q20" s="187">
        <v>0</v>
      </c>
      <c r="R20" s="187">
        <v>0</v>
      </c>
      <c r="S20" s="187">
        <v>0</v>
      </c>
      <c r="T20" s="187">
        <v>0</v>
      </c>
      <c r="U20" s="187">
        <v>0</v>
      </c>
      <c r="V20" s="187">
        <v>0</v>
      </c>
      <c r="W20" s="32">
        <v>0</v>
      </c>
      <c r="X20" s="32">
        <v>0</v>
      </c>
      <c r="Y20" s="187">
        <v>0</v>
      </c>
      <c r="AB20" s="187">
        <v>0</v>
      </c>
      <c r="AC20" s="187">
        <v>0</v>
      </c>
      <c r="AE20" s="187">
        <v>0</v>
      </c>
      <c r="AF20" s="187">
        <v>0</v>
      </c>
      <c r="AG20" s="187">
        <v>0</v>
      </c>
      <c r="AH20" s="32">
        <v>0</v>
      </c>
      <c r="AI20" s="187">
        <v>0</v>
      </c>
      <c r="AJ20" s="187">
        <v>0</v>
      </c>
      <c r="AK20" s="187">
        <v>0</v>
      </c>
      <c r="AL20" s="187">
        <v>0</v>
      </c>
      <c r="AM20" s="187">
        <v>0</v>
      </c>
      <c r="AN20" s="32">
        <v>0</v>
      </c>
      <c r="AO20" s="32">
        <v>0</v>
      </c>
      <c r="AP20" s="32">
        <v>0</v>
      </c>
      <c r="AQ20" s="5"/>
      <c r="AR20" s="5"/>
      <c r="AS20" s="5"/>
      <c r="AT20" s="5"/>
      <c r="AU20" s="5"/>
    </row>
    <row r="21" spans="1:47" ht="22.7" customHeight="1">
      <c r="A21" s="139" t="s">
        <v>79</v>
      </c>
      <c r="B21" s="140"/>
      <c r="C21" s="213">
        <v>1</v>
      </c>
      <c r="D21" s="182"/>
      <c r="E21" s="181">
        <v>1</v>
      </c>
      <c r="F21" s="17"/>
      <c r="G21" s="182">
        <v>10</v>
      </c>
      <c r="H21" s="182">
        <v>2</v>
      </c>
      <c r="I21" s="182">
        <v>4</v>
      </c>
      <c r="J21" s="182">
        <v>3</v>
      </c>
      <c r="K21" s="182">
        <v>4</v>
      </c>
      <c r="L21" s="182">
        <v>3</v>
      </c>
      <c r="M21" s="182">
        <v>3</v>
      </c>
      <c r="N21" s="182">
        <v>4</v>
      </c>
      <c r="O21" s="182">
        <v>4</v>
      </c>
      <c r="P21" s="182">
        <v>4</v>
      </c>
      <c r="Q21" s="182">
        <v>5</v>
      </c>
      <c r="R21" s="182">
        <v>5</v>
      </c>
      <c r="S21" s="182">
        <v>20</v>
      </c>
      <c r="T21" s="182">
        <v>7</v>
      </c>
      <c r="U21" s="182">
        <v>6</v>
      </c>
      <c r="V21" s="182">
        <v>5</v>
      </c>
      <c r="W21" s="13">
        <v>5</v>
      </c>
      <c r="X21" s="13">
        <v>5</v>
      </c>
      <c r="Y21" s="182">
        <v>5</v>
      </c>
      <c r="AB21" s="182">
        <v>6</v>
      </c>
      <c r="AC21" s="182">
        <v>8</v>
      </c>
      <c r="AE21" s="182">
        <v>1</v>
      </c>
      <c r="AF21" s="182">
        <v>1</v>
      </c>
      <c r="AG21" s="182">
        <v>1</v>
      </c>
      <c r="AH21" s="13">
        <v>5</v>
      </c>
      <c r="AI21" s="182">
        <v>8</v>
      </c>
      <c r="AJ21" s="182">
        <v>8</v>
      </c>
      <c r="AK21" s="182">
        <v>6</v>
      </c>
      <c r="AL21" s="182">
        <v>6</v>
      </c>
      <c r="AM21" s="182">
        <v>4</v>
      </c>
      <c r="AN21" s="13">
        <v>5</v>
      </c>
      <c r="AO21" s="13">
        <v>5</v>
      </c>
      <c r="AP21" s="13">
        <v>5</v>
      </c>
      <c r="AQ21" s="5"/>
      <c r="AR21" s="5"/>
      <c r="AS21" s="5"/>
      <c r="AT21" s="5"/>
      <c r="AU21" s="5"/>
    </row>
    <row r="22" spans="1:47" ht="22.7" customHeight="1">
      <c r="A22" s="122" t="s">
        <v>80</v>
      </c>
      <c r="B22" s="121"/>
      <c r="C22" s="213">
        <v>500</v>
      </c>
      <c r="D22" s="182"/>
      <c r="E22" s="185">
        <v>200000</v>
      </c>
      <c r="G22" s="182">
        <v>100</v>
      </c>
      <c r="H22" s="182">
        <v>50</v>
      </c>
      <c r="I22" s="182">
        <v>100</v>
      </c>
      <c r="J22" s="182">
        <v>100</v>
      </c>
      <c r="K22" s="182">
        <v>200</v>
      </c>
      <c r="L22" s="182">
        <v>100</v>
      </c>
      <c r="M22" s="182">
        <v>100</v>
      </c>
      <c r="N22" s="182">
        <v>80</v>
      </c>
      <c r="O22" s="182">
        <v>300</v>
      </c>
      <c r="P22" s="182">
        <v>300</v>
      </c>
      <c r="Q22" s="182">
        <v>200</v>
      </c>
      <c r="R22" s="182">
        <v>200</v>
      </c>
      <c r="S22" s="182">
        <v>200</v>
      </c>
      <c r="T22" s="182">
        <v>120</v>
      </c>
      <c r="U22" s="182">
        <v>200</v>
      </c>
      <c r="V22" s="182">
        <v>200</v>
      </c>
      <c r="W22" s="13">
        <v>200</v>
      </c>
      <c r="X22" s="13">
        <v>200</v>
      </c>
      <c r="Y22" s="182">
        <v>200</v>
      </c>
      <c r="AB22" s="182">
        <v>300</v>
      </c>
      <c r="AC22" s="182">
        <v>300</v>
      </c>
      <c r="AE22" s="182">
        <v>300</v>
      </c>
      <c r="AF22" s="182">
        <v>300</v>
      </c>
      <c r="AG22" s="182">
        <v>300</v>
      </c>
      <c r="AH22" s="13">
        <v>200</v>
      </c>
      <c r="AI22" s="182">
        <v>300</v>
      </c>
      <c r="AJ22" s="182">
        <v>300</v>
      </c>
      <c r="AK22" s="182">
        <v>300</v>
      </c>
      <c r="AL22" s="182">
        <v>300</v>
      </c>
      <c r="AM22" s="182">
        <v>300</v>
      </c>
      <c r="AN22" s="13">
        <v>200</v>
      </c>
      <c r="AO22" s="13">
        <v>200</v>
      </c>
      <c r="AP22" s="13">
        <v>200</v>
      </c>
      <c r="AQ22" s="5"/>
      <c r="AR22" s="5"/>
      <c r="AS22" s="5"/>
      <c r="AT22" s="5"/>
      <c r="AU22" s="5"/>
    </row>
    <row r="23" spans="1:47" ht="22.7" customHeight="1">
      <c r="A23" s="122" t="s">
        <v>81</v>
      </c>
      <c r="B23" s="121"/>
      <c r="C23" s="213">
        <v>0</v>
      </c>
      <c r="D23" s="182"/>
      <c r="E23" s="181">
        <v>0</v>
      </c>
      <c r="G23" s="182">
        <v>0</v>
      </c>
      <c r="H23" s="182">
        <v>0</v>
      </c>
      <c r="I23" s="182">
        <v>0</v>
      </c>
      <c r="J23" s="182">
        <v>0</v>
      </c>
      <c r="K23" s="182">
        <v>0</v>
      </c>
      <c r="L23" s="182">
        <v>0</v>
      </c>
      <c r="M23" s="182">
        <v>0</v>
      </c>
      <c r="N23" s="182">
        <v>0</v>
      </c>
      <c r="O23" s="182">
        <v>0</v>
      </c>
      <c r="P23" s="182">
        <v>0</v>
      </c>
      <c r="Q23" s="182">
        <v>0</v>
      </c>
      <c r="R23" s="182">
        <v>0</v>
      </c>
      <c r="S23" s="182">
        <v>0</v>
      </c>
      <c r="T23" s="182">
        <v>0</v>
      </c>
      <c r="U23" s="182">
        <v>0</v>
      </c>
      <c r="V23" s="182">
        <v>0</v>
      </c>
      <c r="W23" s="13">
        <v>0</v>
      </c>
      <c r="X23" s="13">
        <v>0</v>
      </c>
      <c r="Y23" s="182">
        <v>0</v>
      </c>
      <c r="AB23" s="182">
        <v>0</v>
      </c>
      <c r="AC23" s="182">
        <v>0</v>
      </c>
      <c r="AE23" s="182">
        <v>0</v>
      </c>
      <c r="AF23" s="182">
        <v>0</v>
      </c>
      <c r="AG23" s="182">
        <v>0</v>
      </c>
      <c r="AH23" s="13">
        <v>0</v>
      </c>
      <c r="AI23" s="182">
        <v>0</v>
      </c>
      <c r="AJ23" s="182">
        <v>0</v>
      </c>
      <c r="AK23" s="182">
        <v>0</v>
      </c>
      <c r="AL23" s="182">
        <v>0</v>
      </c>
      <c r="AM23" s="182">
        <v>0</v>
      </c>
      <c r="AN23" s="13">
        <v>0</v>
      </c>
      <c r="AO23" s="13">
        <v>0</v>
      </c>
      <c r="AP23" s="13">
        <v>0</v>
      </c>
      <c r="AQ23" s="5"/>
      <c r="AR23" s="5"/>
      <c r="AS23" s="5"/>
      <c r="AT23" s="5"/>
      <c r="AU23" s="5"/>
    </row>
    <row r="24" spans="1:47" ht="22.7" customHeight="1">
      <c r="A24" s="118" t="s">
        <v>228</v>
      </c>
      <c r="B24" s="141">
        <v>0.29166666666666702</v>
      </c>
      <c r="C24" s="216">
        <v>6.9444444444444447E-4</v>
      </c>
      <c r="D24" s="190"/>
      <c r="E24" s="190">
        <v>0.33333333333333298</v>
      </c>
      <c r="G24" s="190">
        <v>0.33333333333333298</v>
      </c>
      <c r="H24" s="190">
        <v>0.33333333333333298</v>
      </c>
      <c r="I24" s="190">
        <v>0.33333333333333298</v>
      </c>
      <c r="J24" s="190">
        <v>0.33333333333333298</v>
      </c>
      <c r="K24" s="190">
        <v>0.33333333333333298</v>
      </c>
      <c r="L24" s="190">
        <v>0.33333333333333298</v>
      </c>
      <c r="M24" s="190">
        <v>0.33333333333333298</v>
      </c>
      <c r="N24" s="190">
        <v>0.29097222222222202</v>
      </c>
      <c r="O24" s="190">
        <v>0.29097222222222202</v>
      </c>
      <c r="P24" s="190">
        <v>0.29097222222222202</v>
      </c>
      <c r="Q24" s="190">
        <v>0.29097222222222202</v>
      </c>
      <c r="R24" s="190">
        <v>0.29097222222222202</v>
      </c>
      <c r="S24" s="190">
        <v>0.29097222222222202</v>
      </c>
      <c r="T24" s="190">
        <v>0.33333333333333298</v>
      </c>
      <c r="U24" s="190">
        <v>0.29097222222222202</v>
      </c>
      <c r="V24" s="190">
        <v>0.29097222222222202</v>
      </c>
      <c r="W24" s="44">
        <v>0.29097222222222202</v>
      </c>
      <c r="X24" s="44">
        <v>0.29097222222222202</v>
      </c>
      <c r="Y24" s="190">
        <v>0.33333333333333298</v>
      </c>
      <c r="AB24" s="190">
        <v>0.29097222222222202</v>
      </c>
      <c r="AC24" s="190">
        <v>0.29097222222222202</v>
      </c>
      <c r="AE24" s="190">
        <v>0.29097222222222202</v>
      </c>
      <c r="AF24" s="190">
        <v>0.29097222222222202</v>
      </c>
      <c r="AG24" s="190">
        <v>0.29097222222222202</v>
      </c>
      <c r="AH24" s="44">
        <v>0.29097222222222202</v>
      </c>
      <c r="AI24" s="190">
        <v>0.29097222222222202</v>
      </c>
      <c r="AJ24" s="190">
        <v>0.29097222222222202</v>
      </c>
      <c r="AK24" s="190">
        <v>0.29097222222222202</v>
      </c>
      <c r="AL24" s="190">
        <v>0.29097222222222202</v>
      </c>
      <c r="AM24" s="190">
        <v>0.29097222222222202</v>
      </c>
      <c r="AN24" s="44">
        <v>0.29097222222222202</v>
      </c>
      <c r="AO24" s="44">
        <v>0.29097222222222202</v>
      </c>
      <c r="AP24" s="44">
        <v>0.29097222222222202</v>
      </c>
      <c r="AQ24" s="5"/>
      <c r="AR24" s="5"/>
      <c r="AS24" s="5"/>
      <c r="AT24" s="5"/>
      <c r="AU24" s="5"/>
    </row>
    <row r="25" spans="1:47" ht="22.7" customHeight="1">
      <c r="A25" s="118" t="s">
        <v>229</v>
      </c>
      <c r="B25" s="141">
        <v>0.70833333333333304</v>
      </c>
      <c r="C25" s="216">
        <v>0.99375000000000002</v>
      </c>
      <c r="D25" s="190"/>
      <c r="E25" s="190">
        <v>0.79236111111111096</v>
      </c>
      <c r="F25" s="43"/>
      <c r="G25" s="190">
        <v>0.79236111111111096</v>
      </c>
      <c r="H25" s="190">
        <v>0.874305555555556</v>
      </c>
      <c r="I25" s="190">
        <v>0.83402777777777803</v>
      </c>
      <c r="J25" s="190">
        <v>0.83402777777777803</v>
      </c>
      <c r="K25" s="190">
        <v>0.83402777777777803</v>
      </c>
      <c r="L25" s="190">
        <v>0.83402777777777803</v>
      </c>
      <c r="M25" s="190">
        <v>0.83402777777777803</v>
      </c>
      <c r="N25" s="190">
        <v>0.83402777777777803</v>
      </c>
      <c r="O25" s="190">
        <v>0.83402777777777803</v>
      </c>
      <c r="P25" s="190">
        <v>0.83402777777777803</v>
      </c>
      <c r="Q25" s="190">
        <v>0.83402777777777803</v>
      </c>
      <c r="R25" s="190">
        <v>0.83402777777777803</v>
      </c>
      <c r="S25" s="190">
        <v>0.79236111111111096</v>
      </c>
      <c r="T25" s="190">
        <v>0.83402777777777803</v>
      </c>
      <c r="U25" s="190">
        <v>0.83402777777777803</v>
      </c>
      <c r="V25" s="190">
        <v>0.83402777777777803</v>
      </c>
      <c r="W25" s="44">
        <v>0.83402777777777803</v>
      </c>
      <c r="X25" s="44">
        <v>0.83402777777777803</v>
      </c>
      <c r="Y25" s="190">
        <v>0.83402777777777803</v>
      </c>
      <c r="AB25" s="190">
        <v>0.83402777777777803</v>
      </c>
      <c r="AC25" s="190">
        <v>0.83402777777777803</v>
      </c>
      <c r="AE25" s="190">
        <v>0.83402777777777803</v>
      </c>
      <c r="AF25" s="190">
        <v>0.83402777777777803</v>
      </c>
      <c r="AG25" s="190">
        <v>0.83402777777777803</v>
      </c>
      <c r="AH25" s="44">
        <v>0.83402777777777803</v>
      </c>
      <c r="AI25" s="190">
        <v>0.83402777777777803</v>
      </c>
      <c r="AJ25" s="190">
        <v>0.83402777777777803</v>
      </c>
      <c r="AK25" s="190">
        <v>0.83402777777777803</v>
      </c>
      <c r="AL25" s="190">
        <v>0.83402777777777803</v>
      </c>
      <c r="AM25" s="190">
        <v>0.83402777777777803</v>
      </c>
      <c r="AN25" s="44">
        <v>0.83402777777777803</v>
      </c>
      <c r="AO25" s="44">
        <v>0.83402777777777803</v>
      </c>
      <c r="AP25" s="44">
        <v>0.83402777777777803</v>
      </c>
      <c r="AQ25" s="5"/>
      <c r="AR25" s="5"/>
      <c r="AS25" s="5"/>
      <c r="AT25" s="5"/>
      <c r="AU25" s="5"/>
    </row>
    <row r="26" spans="1:47" ht="22.7" customHeight="1">
      <c r="A26" s="118" t="s">
        <v>230</v>
      </c>
      <c r="B26" s="121"/>
      <c r="C26" s="213">
        <v>2</v>
      </c>
      <c r="D26" s="182"/>
      <c r="E26" s="181">
        <v>2</v>
      </c>
      <c r="F26" s="13"/>
      <c r="G26" s="182">
        <v>2</v>
      </c>
      <c r="H26" s="182">
        <v>3</v>
      </c>
      <c r="I26" s="182">
        <v>2</v>
      </c>
      <c r="J26" s="182">
        <v>2</v>
      </c>
      <c r="K26" s="182">
        <v>3</v>
      </c>
      <c r="L26" s="182">
        <v>5</v>
      </c>
      <c r="M26" s="182">
        <v>2</v>
      </c>
      <c r="N26" s="182">
        <v>2</v>
      </c>
      <c r="O26" s="182">
        <v>2</v>
      </c>
      <c r="P26" s="182">
        <v>2</v>
      </c>
      <c r="Q26" s="182">
        <v>2</v>
      </c>
      <c r="R26" s="182">
        <v>3</v>
      </c>
      <c r="S26" s="182">
        <v>2</v>
      </c>
      <c r="T26" s="182">
        <v>2</v>
      </c>
      <c r="U26" s="182">
        <v>5</v>
      </c>
      <c r="V26" s="182">
        <v>2</v>
      </c>
      <c r="W26" s="13">
        <v>2</v>
      </c>
      <c r="X26" s="13">
        <v>2</v>
      </c>
      <c r="Y26" s="182">
        <v>2</v>
      </c>
      <c r="AB26" s="182">
        <v>2</v>
      </c>
      <c r="AC26" s="182">
        <v>2</v>
      </c>
      <c r="AE26" s="182">
        <v>2</v>
      </c>
      <c r="AF26" s="182">
        <v>2</v>
      </c>
      <c r="AG26" s="182">
        <v>2</v>
      </c>
      <c r="AH26" s="13">
        <v>2</v>
      </c>
      <c r="AI26" s="182">
        <v>2</v>
      </c>
      <c r="AJ26" s="182">
        <v>2</v>
      </c>
      <c r="AK26" s="182">
        <v>2</v>
      </c>
      <c r="AL26" s="182">
        <v>2</v>
      </c>
      <c r="AM26" s="182">
        <v>2</v>
      </c>
      <c r="AN26" s="13">
        <v>2</v>
      </c>
      <c r="AO26" s="13">
        <v>2</v>
      </c>
      <c r="AP26" s="13">
        <v>2</v>
      </c>
      <c r="AQ26" s="5"/>
      <c r="AR26" s="5"/>
      <c r="AS26" s="5"/>
      <c r="AT26" s="5"/>
      <c r="AU26" s="5"/>
    </row>
    <row r="27" spans="1:47" ht="22.7" customHeight="1" thickBot="1">
      <c r="A27" s="142" t="s">
        <v>85</v>
      </c>
      <c r="B27" s="143" t="s">
        <v>86</v>
      </c>
      <c r="C27" s="213" t="s">
        <v>87</v>
      </c>
      <c r="D27" s="182"/>
      <c r="E27" s="181" t="s">
        <v>87</v>
      </c>
      <c r="F27" s="13"/>
      <c r="G27" s="182" t="s">
        <v>87</v>
      </c>
      <c r="H27" s="182" t="s">
        <v>87</v>
      </c>
      <c r="I27" s="182" t="s">
        <v>87</v>
      </c>
      <c r="J27" s="182" t="s">
        <v>87</v>
      </c>
      <c r="K27" s="182" t="s">
        <v>87</v>
      </c>
      <c r="L27" s="182" t="s">
        <v>87</v>
      </c>
      <c r="M27" s="182" t="s">
        <v>87</v>
      </c>
      <c r="N27" s="182" t="s">
        <v>87</v>
      </c>
      <c r="O27" s="182" t="s">
        <v>87</v>
      </c>
      <c r="P27" s="182" t="s">
        <v>87</v>
      </c>
      <c r="Q27" s="182" t="s">
        <v>87</v>
      </c>
      <c r="R27" s="182" t="s">
        <v>87</v>
      </c>
      <c r="S27" s="182" t="s">
        <v>87</v>
      </c>
      <c r="T27" s="182" t="s">
        <v>87</v>
      </c>
      <c r="U27" s="182" t="s">
        <v>87</v>
      </c>
      <c r="V27" s="182" t="s">
        <v>87</v>
      </c>
      <c r="W27" s="13" t="s">
        <v>87</v>
      </c>
      <c r="X27" s="13" t="s">
        <v>87</v>
      </c>
      <c r="Y27" s="182" t="s">
        <v>87</v>
      </c>
      <c r="AB27" s="182" t="s">
        <v>87</v>
      </c>
      <c r="AC27" s="182" t="s">
        <v>87</v>
      </c>
      <c r="AE27" s="182" t="s">
        <v>87</v>
      </c>
      <c r="AF27" s="182" t="s">
        <v>87</v>
      </c>
      <c r="AG27" s="182" t="s">
        <v>87</v>
      </c>
      <c r="AH27" s="13" t="s">
        <v>87</v>
      </c>
      <c r="AI27" s="182" t="s">
        <v>87</v>
      </c>
      <c r="AJ27" s="182" t="s">
        <v>87</v>
      </c>
      <c r="AK27" s="182" t="s">
        <v>87</v>
      </c>
      <c r="AL27" s="182" t="s">
        <v>87</v>
      </c>
      <c r="AM27" s="182" t="s">
        <v>87</v>
      </c>
      <c r="AN27" s="13" t="s">
        <v>87</v>
      </c>
      <c r="AO27" s="13" t="s">
        <v>87</v>
      </c>
      <c r="AP27" s="13" t="s">
        <v>87</v>
      </c>
      <c r="AQ27" s="5"/>
      <c r="AR27" s="5"/>
      <c r="AS27" s="5"/>
      <c r="AT27" s="5"/>
      <c r="AU27" s="5"/>
    </row>
    <row r="28" spans="1:47" ht="22.7" customHeight="1">
      <c r="A28" s="144" t="s">
        <v>88</v>
      </c>
      <c r="B28" s="145" t="s">
        <v>231</v>
      </c>
      <c r="C28" s="214">
        <v>5</v>
      </c>
      <c r="D28" s="184"/>
      <c r="E28" s="183">
        <v>0</v>
      </c>
      <c r="F28" s="25"/>
      <c r="G28" s="184">
        <v>0</v>
      </c>
      <c r="H28" s="184">
        <v>5</v>
      </c>
      <c r="I28" s="184">
        <v>3</v>
      </c>
      <c r="J28" s="184">
        <v>0</v>
      </c>
      <c r="K28" s="184">
        <v>5</v>
      </c>
      <c r="L28" s="184">
        <v>0</v>
      </c>
      <c r="M28" s="184">
        <v>5</v>
      </c>
      <c r="N28" s="184">
        <v>5</v>
      </c>
      <c r="O28" s="184">
        <v>4</v>
      </c>
      <c r="P28" s="184">
        <v>4</v>
      </c>
      <c r="Q28" s="184">
        <v>5</v>
      </c>
      <c r="R28" s="184">
        <v>5</v>
      </c>
      <c r="S28" s="184">
        <v>7</v>
      </c>
      <c r="T28" s="184">
        <v>4</v>
      </c>
      <c r="U28" s="184">
        <v>4</v>
      </c>
      <c r="V28" s="184">
        <v>0</v>
      </c>
      <c r="W28" s="25">
        <v>4</v>
      </c>
      <c r="X28" s="25">
        <v>4</v>
      </c>
      <c r="Y28" s="184">
        <v>4</v>
      </c>
      <c r="AB28" s="184">
        <v>4</v>
      </c>
      <c r="AC28" s="184">
        <v>0</v>
      </c>
      <c r="AE28" s="184">
        <v>0</v>
      </c>
      <c r="AF28" s="184">
        <v>0</v>
      </c>
      <c r="AG28" s="184">
        <v>0</v>
      </c>
      <c r="AH28" s="25">
        <v>0</v>
      </c>
      <c r="AI28" s="184">
        <v>0</v>
      </c>
      <c r="AJ28" s="184">
        <v>0</v>
      </c>
      <c r="AK28" s="184">
        <v>4</v>
      </c>
      <c r="AL28" s="184">
        <v>4</v>
      </c>
      <c r="AM28" s="184">
        <v>4</v>
      </c>
      <c r="AN28" s="25">
        <v>0</v>
      </c>
      <c r="AO28" s="25">
        <v>4</v>
      </c>
      <c r="AP28" s="25">
        <v>4</v>
      </c>
      <c r="AQ28" s="5"/>
      <c r="AR28" s="5"/>
      <c r="AS28" s="5"/>
      <c r="AT28" s="5"/>
      <c r="AU28" s="5"/>
    </row>
    <row r="29" spans="1:47" ht="22.7" customHeight="1">
      <c r="A29" s="146" t="s">
        <v>90</v>
      </c>
      <c r="B29" s="147" t="s">
        <v>232</v>
      </c>
      <c r="C29" s="213">
        <v>20</v>
      </c>
      <c r="D29" s="182"/>
      <c r="E29" s="181">
        <v>0</v>
      </c>
      <c r="F29" s="13"/>
      <c r="G29" s="182">
        <v>0</v>
      </c>
      <c r="H29" s="182">
        <v>10</v>
      </c>
      <c r="I29" s="182">
        <v>10</v>
      </c>
      <c r="J29" s="182">
        <v>0</v>
      </c>
      <c r="K29" s="182">
        <v>15</v>
      </c>
      <c r="L29" s="182">
        <v>0</v>
      </c>
      <c r="M29" s="182">
        <v>0</v>
      </c>
      <c r="N29" s="182">
        <v>15</v>
      </c>
      <c r="O29" s="182">
        <v>0</v>
      </c>
      <c r="P29" s="182">
        <v>0</v>
      </c>
      <c r="Q29" s="182">
        <v>0</v>
      </c>
      <c r="R29" s="182">
        <v>15</v>
      </c>
      <c r="S29" s="182">
        <v>10</v>
      </c>
      <c r="T29" s="182">
        <v>0</v>
      </c>
      <c r="U29" s="182">
        <v>15</v>
      </c>
      <c r="V29" s="182">
        <v>20</v>
      </c>
      <c r="W29" s="13">
        <v>9</v>
      </c>
      <c r="X29" s="13">
        <v>9</v>
      </c>
      <c r="Y29" s="182">
        <v>10</v>
      </c>
      <c r="AB29" s="182">
        <v>0</v>
      </c>
      <c r="AC29" s="182">
        <v>0</v>
      </c>
      <c r="AE29" s="182">
        <v>0</v>
      </c>
      <c r="AF29" s="182">
        <v>0</v>
      </c>
      <c r="AG29" s="182">
        <v>0</v>
      </c>
      <c r="AH29" s="13">
        <v>20</v>
      </c>
      <c r="AI29" s="182">
        <v>0</v>
      </c>
      <c r="AJ29" s="182">
        <v>0</v>
      </c>
      <c r="AK29" s="182">
        <v>0</v>
      </c>
      <c r="AL29" s="182">
        <v>0</v>
      </c>
      <c r="AM29" s="182">
        <v>0</v>
      </c>
      <c r="AN29" s="13">
        <v>20</v>
      </c>
      <c r="AO29" s="13">
        <v>9</v>
      </c>
      <c r="AP29" s="13">
        <v>9</v>
      </c>
      <c r="AQ29" s="5"/>
      <c r="AR29" s="5"/>
      <c r="AS29" s="5"/>
      <c r="AT29" s="5"/>
      <c r="AU29" s="5"/>
    </row>
    <row r="30" spans="1:47" ht="22.7" customHeight="1">
      <c r="A30" s="148" t="s">
        <v>92</v>
      </c>
      <c r="B30" s="149" t="s">
        <v>233</v>
      </c>
      <c r="C30" s="213">
        <v>0</v>
      </c>
      <c r="D30" s="182"/>
      <c r="E30" s="181">
        <v>0</v>
      </c>
      <c r="F30" s="13"/>
      <c r="G30" s="182">
        <v>0</v>
      </c>
      <c r="H30" s="182">
        <v>0</v>
      </c>
      <c r="I30" s="182">
        <v>0</v>
      </c>
      <c r="J30" s="182">
        <v>0</v>
      </c>
      <c r="K30" s="182">
        <v>2</v>
      </c>
      <c r="L30" s="182">
        <v>0</v>
      </c>
      <c r="M30" s="182">
        <v>3</v>
      </c>
      <c r="N30" s="182">
        <v>2</v>
      </c>
      <c r="O30" s="182">
        <v>3.5</v>
      </c>
      <c r="P30" s="182">
        <v>3.5</v>
      </c>
      <c r="Q30" s="182">
        <v>5</v>
      </c>
      <c r="R30" s="182">
        <v>2</v>
      </c>
      <c r="S30" s="182">
        <v>0</v>
      </c>
      <c r="T30" s="182">
        <v>11</v>
      </c>
      <c r="U30" s="182">
        <v>3</v>
      </c>
      <c r="V30" s="182">
        <v>1</v>
      </c>
      <c r="W30" s="13">
        <v>1</v>
      </c>
      <c r="X30" s="13">
        <v>1</v>
      </c>
      <c r="Y30" s="182">
        <v>4</v>
      </c>
      <c r="AB30" s="182">
        <v>2</v>
      </c>
      <c r="AC30" s="182">
        <v>0</v>
      </c>
      <c r="AE30" s="182">
        <v>0</v>
      </c>
      <c r="AF30" s="182">
        <v>0</v>
      </c>
      <c r="AG30" s="182">
        <v>0</v>
      </c>
      <c r="AH30" s="13">
        <v>1</v>
      </c>
      <c r="AI30" s="182">
        <v>0</v>
      </c>
      <c r="AJ30" s="182">
        <v>0</v>
      </c>
      <c r="AK30" s="182">
        <v>2</v>
      </c>
      <c r="AL30" s="182">
        <v>2</v>
      </c>
      <c r="AM30" s="182">
        <v>3.5</v>
      </c>
      <c r="AN30" s="13">
        <v>1</v>
      </c>
      <c r="AO30" s="13">
        <v>1</v>
      </c>
      <c r="AP30" s="13">
        <v>1</v>
      </c>
      <c r="AQ30" s="5"/>
      <c r="AR30" s="5"/>
      <c r="AS30" s="5"/>
      <c r="AT30" s="5"/>
      <c r="AU30" s="5"/>
    </row>
    <row r="31" spans="1:47" ht="22.7" customHeight="1">
      <c r="A31" s="150" t="s">
        <v>94</v>
      </c>
      <c r="B31" s="151" t="s">
        <v>234</v>
      </c>
      <c r="C31" s="213">
        <v>0</v>
      </c>
      <c r="D31" s="182"/>
      <c r="E31" s="181">
        <v>0</v>
      </c>
      <c r="F31" s="13"/>
      <c r="G31" s="182">
        <v>0</v>
      </c>
      <c r="H31" s="182">
        <v>0</v>
      </c>
      <c r="I31" s="182">
        <v>0</v>
      </c>
      <c r="J31" s="182">
        <v>0</v>
      </c>
      <c r="K31" s="182">
        <v>0</v>
      </c>
      <c r="L31" s="182">
        <v>0</v>
      </c>
      <c r="M31" s="182">
        <v>0</v>
      </c>
      <c r="N31" s="182">
        <v>0</v>
      </c>
      <c r="O31" s="182">
        <v>0</v>
      </c>
      <c r="P31" s="182">
        <v>0</v>
      </c>
      <c r="Q31" s="182">
        <v>0</v>
      </c>
      <c r="R31" s="182">
        <v>0</v>
      </c>
      <c r="S31" s="182">
        <v>0</v>
      </c>
      <c r="T31" s="182">
        <v>0</v>
      </c>
      <c r="U31" s="182">
        <v>0</v>
      </c>
      <c r="V31" s="182">
        <v>0</v>
      </c>
      <c r="W31" s="13">
        <v>0</v>
      </c>
      <c r="X31" s="13">
        <v>0</v>
      </c>
      <c r="Y31" s="182">
        <v>0</v>
      </c>
      <c r="AB31" s="182">
        <v>0</v>
      </c>
      <c r="AC31" s="182">
        <v>0</v>
      </c>
      <c r="AE31" s="182">
        <v>0</v>
      </c>
      <c r="AF31" s="182">
        <v>0</v>
      </c>
      <c r="AG31" s="182">
        <v>0</v>
      </c>
      <c r="AH31" s="13">
        <v>0</v>
      </c>
      <c r="AI31" s="182">
        <v>0</v>
      </c>
      <c r="AJ31" s="182">
        <v>0</v>
      </c>
      <c r="AK31" s="182">
        <v>0</v>
      </c>
      <c r="AL31" s="182">
        <v>0</v>
      </c>
      <c r="AM31" s="182">
        <v>0</v>
      </c>
      <c r="AN31" s="13">
        <v>0</v>
      </c>
      <c r="AO31" s="13">
        <v>0</v>
      </c>
      <c r="AP31" s="13">
        <v>0</v>
      </c>
      <c r="AQ31" s="5"/>
      <c r="AR31" s="5"/>
      <c r="AS31" s="5"/>
      <c r="AT31" s="5"/>
      <c r="AU31" s="5"/>
    </row>
    <row r="32" spans="1:47" ht="22.7" customHeight="1" thickBot="1">
      <c r="A32" s="152" t="s">
        <v>96</v>
      </c>
      <c r="B32" s="153" t="s">
        <v>235</v>
      </c>
      <c r="C32" s="215">
        <v>0</v>
      </c>
      <c r="D32" s="187"/>
      <c r="E32" s="189">
        <v>0</v>
      </c>
      <c r="F32" s="32"/>
      <c r="G32" s="187">
        <v>0</v>
      </c>
      <c r="H32" s="187">
        <v>0</v>
      </c>
      <c r="I32" s="187">
        <v>0</v>
      </c>
      <c r="J32" s="187">
        <v>0</v>
      </c>
      <c r="K32" s="187">
        <v>0</v>
      </c>
      <c r="L32" s="187">
        <v>0</v>
      </c>
      <c r="M32" s="187">
        <v>0</v>
      </c>
      <c r="N32" s="187">
        <v>0</v>
      </c>
      <c r="O32" s="187">
        <v>0</v>
      </c>
      <c r="P32" s="187">
        <v>0</v>
      </c>
      <c r="Q32" s="187">
        <v>0</v>
      </c>
      <c r="R32" s="187">
        <v>0</v>
      </c>
      <c r="S32" s="187">
        <v>0</v>
      </c>
      <c r="T32" s="187">
        <v>0</v>
      </c>
      <c r="U32" s="187">
        <v>0</v>
      </c>
      <c r="V32" s="187">
        <v>0</v>
      </c>
      <c r="W32" s="32">
        <v>0</v>
      </c>
      <c r="X32" s="32">
        <v>0</v>
      </c>
      <c r="Y32" s="187">
        <v>0</v>
      </c>
      <c r="AB32" s="187">
        <v>0</v>
      </c>
      <c r="AC32" s="187">
        <v>0</v>
      </c>
      <c r="AE32" s="187">
        <v>0</v>
      </c>
      <c r="AF32" s="187">
        <v>0</v>
      </c>
      <c r="AG32" s="187">
        <v>0</v>
      </c>
      <c r="AH32" s="32">
        <v>0</v>
      </c>
      <c r="AI32" s="187">
        <v>0</v>
      </c>
      <c r="AJ32" s="187">
        <v>0</v>
      </c>
      <c r="AK32" s="187">
        <v>0</v>
      </c>
      <c r="AL32" s="187">
        <v>0</v>
      </c>
      <c r="AM32" s="187">
        <v>0</v>
      </c>
      <c r="AN32" s="32">
        <v>0</v>
      </c>
      <c r="AO32" s="32">
        <v>0</v>
      </c>
      <c r="AP32" s="32">
        <v>0</v>
      </c>
      <c r="AQ32" s="5"/>
      <c r="AR32" s="5"/>
      <c r="AS32" s="5"/>
      <c r="AT32" s="5"/>
      <c r="AU32" s="5"/>
    </row>
    <row r="33" spans="1:47" ht="22.7" customHeight="1">
      <c r="A33" s="139" t="s">
        <v>98</v>
      </c>
      <c r="B33" s="154"/>
      <c r="C33" s="213" t="s">
        <v>100</v>
      </c>
      <c r="D33" s="182"/>
      <c r="E33" s="182" t="s">
        <v>100</v>
      </c>
      <c r="F33" s="14"/>
      <c r="G33" s="182" t="s">
        <v>100</v>
      </c>
      <c r="H33" s="182" t="s">
        <v>100</v>
      </c>
      <c r="I33" s="182" t="s">
        <v>100</v>
      </c>
      <c r="J33" s="182" t="s">
        <v>100</v>
      </c>
      <c r="K33" s="182" t="s">
        <v>100</v>
      </c>
      <c r="L33" s="182" t="s">
        <v>100</v>
      </c>
      <c r="M33" s="182" t="s">
        <v>100</v>
      </c>
      <c r="N33" s="182" t="s">
        <v>100</v>
      </c>
      <c r="O33" s="182" t="s">
        <v>100</v>
      </c>
      <c r="P33" s="182" t="s">
        <v>100</v>
      </c>
      <c r="Q33" s="182" t="s">
        <v>100</v>
      </c>
      <c r="R33" s="182" t="s">
        <v>100</v>
      </c>
      <c r="S33" s="182" t="s">
        <v>100</v>
      </c>
      <c r="T33" s="182" t="s">
        <v>100</v>
      </c>
      <c r="U33" s="182" t="s">
        <v>100</v>
      </c>
      <c r="V33" s="182" t="s">
        <v>100</v>
      </c>
      <c r="W33" s="13" t="s">
        <v>100</v>
      </c>
      <c r="X33" s="13" t="s">
        <v>100</v>
      </c>
      <c r="Y33" s="182" t="s">
        <v>100</v>
      </c>
      <c r="AB33" s="182" t="s">
        <v>100</v>
      </c>
      <c r="AC33" s="182" t="s">
        <v>106</v>
      </c>
      <c r="AE33" s="182" t="s">
        <v>100</v>
      </c>
      <c r="AF33" s="182" t="s">
        <v>100</v>
      </c>
      <c r="AG33" s="182" t="s">
        <v>100</v>
      </c>
      <c r="AH33" s="13" t="s">
        <v>100</v>
      </c>
      <c r="AI33" s="182" t="s">
        <v>100</v>
      </c>
      <c r="AJ33" s="182" t="s">
        <v>100</v>
      </c>
      <c r="AK33" s="182" t="s">
        <v>100</v>
      </c>
      <c r="AL33" s="182" t="s">
        <v>100</v>
      </c>
      <c r="AM33" s="182" t="s">
        <v>100</v>
      </c>
      <c r="AN33" s="13" t="s">
        <v>100</v>
      </c>
      <c r="AO33" s="13" t="s">
        <v>100</v>
      </c>
      <c r="AP33" s="13" t="s">
        <v>100</v>
      </c>
      <c r="AQ33" s="5"/>
      <c r="AR33" s="5"/>
      <c r="AS33" s="5"/>
      <c r="AT33" s="5"/>
      <c r="AU33" s="5"/>
    </row>
    <row r="34" spans="1:47" ht="22.7" customHeight="1">
      <c r="A34" s="122" t="s">
        <v>101</v>
      </c>
      <c r="B34" s="121" t="s">
        <v>236</v>
      </c>
      <c r="C34" s="213">
        <v>0</v>
      </c>
      <c r="D34" s="182"/>
      <c r="E34" s="182">
        <v>0</v>
      </c>
      <c r="F34" s="14"/>
      <c r="G34" s="182">
        <v>0</v>
      </c>
      <c r="H34" s="182">
        <v>0</v>
      </c>
      <c r="I34" s="182">
        <v>0</v>
      </c>
      <c r="J34" s="182">
        <v>0</v>
      </c>
      <c r="K34" s="182">
        <v>0</v>
      </c>
      <c r="L34" s="182">
        <v>500</v>
      </c>
      <c r="M34" s="182">
        <v>500</v>
      </c>
      <c r="N34" s="182">
        <v>0</v>
      </c>
      <c r="O34" s="182">
        <v>0</v>
      </c>
      <c r="P34" s="182">
        <v>0</v>
      </c>
      <c r="Q34" s="182">
        <v>0</v>
      </c>
      <c r="R34" s="182">
        <v>0</v>
      </c>
      <c r="S34" s="182">
        <v>0</v>
      </c>
      <c r="T34" s="182">
        <v>0</v>
      </c>
      <c r="U34" s="182">
        <v>0</v>
      </c>
      <c r="V34" s="182">
        <v>0</v>
      </c>
      <c r="W34" s="13">
        <v>0</v>
      </c>
      <c r="X34" s="13">
        <v>0</v>
      </c>
      <c r="Y34" s="182">
        <v>0</v>
      </c>
      <c r="AB34" s="182">
        <v>0</v>
      </c>
      <c r="AC34" s="182">
        <v>1000</v>
      </c>
      <c r="AE34" s="182">
        <v>0</v>
      </c>
      <c r="AF34" s="182">
        <v>0</v>
      </c>
      <c r="AG34" s="182">
        <v>0</v>
      </c>
      <c r="AH34" s="13">
        <v>0</v>
      </c>
      <c r="AI34" s="182">
        <v>0</v>
      </c>
      <c r="AJ34" s="182">
        <v>0</v>
      </c>
      <c r="AK34" s="182">
        <v>0</v>
      </c>
      <c r="AL34" s="182">
        <v>0</v>
      </c>
      <c r="AM34" s="182">
        <v>0</v>
      </c>
      <c r="AN34" s="13">
        <v>0</v>
      </c>
      <c r="AO34" s="13">
        <v>0</v>
      </c>
      <c r="AP34" s="13">
        <v>0</v>
      </c>
      <c r="AQ34" s="5"/>
      <c r="AR34" s="5"/>
      <c r="AS34" s="5"/>
      <c r="AT34" s="5"/>
      <c r="AU34" s="5"/>
    </row>
    <row r="35" spans="1:47" ht="22.7" customHeight="1" thickBot="1">
      <c r="A35" s="142" t="s">
        <v>102</v>
      </c>
      <c r="B35" s="155" t="s">
        <v>237</v>
      </c>
      <c r="C35" s="213">
        <v>0</v>
      </c>
      <c r="D35" s="182"/>
      <c r="E35" s="182">
        <v>0</v>
      </c>
      <c r="F35" s="14"/>
      <c r="G35" s="182">
        <v>0</v>
      </c>
      <c r="H35" s="182">
        <v>0</v>
      </c>
      <c r="I35" s="182">
        <v>0</v>
      </c>
      <c r="J35" s="182">
        <v>0</v>
      </c>
      <c r="K35" s="182">
        <v>0</v>
      </c>
      <c r="L35" s="182">
        <v>50</v>
      </c>
      <c r="M35" s="182">
        <v>50</v>
      </c>
      <c r="N35" s="182">
        <v>0</v>
      </c>
      <c r="O35" s="182">
        <v>0</v>
      </c>
      <c r="P35" s="182">
        <v>0</v>
      </c>
      <c r="Q35" s="182">
        <v>0</v>
      </c>
      <c r="R35" s="182">
        <v>0</v>
      </c>
      <c r="S35" s="182">
        <v>0</v>
      </c>
      <c r="T35" s="182">
        <v>0</v>
      </c>
      <c r="U35" s="182">
        <v>0</v>
      </c>
      <c r="V35" s="182">
        <v>0</v>
      </c>
      <c r="W35" s="13">
        <v>0</v>
      </c>
      <c r="X35" s="13">
        <v>0</v>
      </c>
      <c r="Y35" s="182">
        <v>0</v>
      </c>
      <c r="AB35" s="182">
        <v>0</v>
      </c>
      <c r="AC35" s="182">
        <v>100</v>
      </c>
      <c r="AE35" s="182">
        <v>0</v>
      </c>
      <c r="AF35" s="182">
        <v>0</v>
      </c>
      <c r="AG35" s="182">
        <v>0</v>
      </c>
      <c r="AH35" s="13">
        <v>0</v>
      </c>
      <c r="AI35" s="182">
        <v>0</v>
      </c>
      <c r="AJ35" s="182">
        <v>0</v>
      </c>
      <c r="AK35" s="182">
        <v>0</v>
      </c>
      <c r="AL35" s="182">
        <v>0</v>
      </c>
      <c r="AM35" s="182">
        <v>0</v>
      </c>
      <c r="AN35" s="13">
        <v>0</v>
      </c>
      <c r="AO35" s="13">
        <v>0</v>
      </c>
      <c r="AP35" s="13">
        <v>0</v>
      </c>
      <c r="AQ35" s="5"/>
      <c r="AR35" s="5"/>
      <c r="AS35" s="5"/>
      <c r="AT35" s="5"/>
      <c r="AU35" s="5"/>
    </row>
    <row r="36" spans="1:47" ht="22.7" customHeight="1">
      <c r="A36" s="156" t="s">
        <v>103</v>
      </c>
      <c r="B36" s="157"/>
      <c r="C36" s="214">
        <v>9</v>
      </c>
      <c r="D36" s="184"/>
      <c r="E36" s="183">
        <v>6</v>
      </c>
      <c r="F36" s="24"/>
      <c r="G36" s="184">
        <v>6</v>
      </c>
      <c r="H36" s="184">
        <v>6</v>
      </c>
      <c r="I36" s="184">
        <v>6</v>
      </c>
      <c r="J36" s="184">
        <v>5</v>
      </c>
      <c r="K36" s="184">
        <v>6</v>
      </c>
      <c r="L36" s="184">
        <v>9</v>
      </c>
      <c r="M36" s="184">
        <v>9</v>
      </c>
      <c r="N36" s="184">
        <v>3</v>
      </c>
      <c r="O36" s="184">
        <v>6</v>
      </c>
      <c r="P36" s="184">
        <v>6</v>
      </c>
      <c r="Q36" s="184">
        <v>9</v>
      </c>
      <c r="R36" s="184">
        <v>7</v>
      </c>
      <c r="S36" s="184">
        <v>6</v>
      </c>
      <c r="T36" s="184">
        <v>9</v>
      </c>
      <c r="U36" s="184">
        <v>6</v>
      </c>
      <c r="V36" s="184">
        <v>6</v>
      </c>
      <c r="W36" s="25">
        <v>6</v>
      </c>
      <c r="X36" s="25">
        <v>6</v>
      </c>
      <c r="Y36" s="184">
        <v>6</v>
      </c>
      <c r="AB36" s="184">
        <v>6</v>
      </c>
      <c r="AC36" s="184">
        <v>6</v>
      </c>
      <c r="AE36" s="184">
        <v>6</v>
      </c>
      <c r="AF36" s="184">
        <v>6</v>
      </c>
      <c r="AG36" s="184">
        <v>6</v>
      </c>
      <c r="AH36" s="25">
        <v>6</v>
      </c>
      <c r="AI36" s="184">
        <v>6</v>
      </c>
      <c r="AJ36" s="184">
        <v>6</v>
      </c>
      <c r="AK36" s="184">
        <v>6</v>
      </c>
      <c r="AL36" s="184">
        <v>6</v>
      </c>
      <c r="AM36" s="184">
        <v>6</v>
      </c>
      <c r="AN36" s="25">
        <v>6</v>
      </c>
      <c r="AO36" s="25">
        <v>6</v>
      </c>
      <c r="AP36" s="25">
        <v>6</v>
      </c>
      <c r="AQ36" s="5"/>
      <c r="AR36" s="5"/>
      <c r="AS36" s="5"/>
      <c r="AT36" s="5"/>
      <c r="AU36" s="5"/>
    </row>
    <row r="37" spans="1:47" ht="22.7" customHeight="1" thickBot="1">
      <c r="A37" s="158" t="s">
        <v>104</v>
      </c>
      <c r="B37" s="159"/>
      <c r="C37" s="215">
        <v>9</v>
      </c>
      <c r="D37" s="187"/>
      <c r="E37" s="189">
        <v>6</v>
      </c>
      <c r="F37" s="30"/>
      <c r="G37" s="187">
        <v>6</v>
      </c>
      <c r="H37" s="187">
        <v>6</v>
      </c>
      <c r="I37" s="187">
        <v>6</v>
      </c>
      <c r="J37" s="187">
        <v>4</v>
      </c>
      <c r="K37" s="187">
        <v>6</v>
      </c>
      <c r="L37" s="187">
        <v>9</v>
      </c>
      <c r="M37" s="187">
        <v>9</v>
      </c>
      <c r="N37" s="187">
        <v>3</v>
      </c>
      <c r="O37" s="187">
        <v>6</v>
      </c>
      <c r="P37" s="187">
        <v>6</v>
      </c>
      <c r="Q37" s="187">
        <v>9</v>
      </c>
      <c r="R37" s="187">
        <v>5</v>
      </c>
      <c r="S37" s="187">
        <v>6</v>
      </c>
      <c r="T37" s="187">
        <v>9</v>
      </c>
      <c r="U37" s="187">
        <v>4</v>
      </c>
      <c r="V37" s="187">
        <v>6</v>
      </c>
      <c r="W37" s="32">
        <v>6</v>
      </c>
      <c r="X37" s="32">
        <v>6</v>
      </c>
      <c r="Y37" s="187">
        <v>6</v>
      </c>
      <c r="AB37" s="187">
        <v>6</v>
      </c>
      <c r="AC37" s="187">
        <v>6</v>
      </c>
      <c r="AE37" s="187">
        <v>6</v>
      </c>
      <c r="AF37" s="187">
        <v>6</v>
      </c>
      <c r="AG37" s="187">
        <v>6</v>
      </c>
      <c r="AH37" s="32">
        <v>6</v>
      </c>
      <c r="AI37" s="187">
        <v>6</v>
      </c>
      <c r="AJ37" s="187">
        <v>6</v>
      </c>
      <c r="AK37" s="187">
        <v>6</v>
      </c>
      <c r="AL37" s="187">
        <v>6</v>
      </c>
      <c r="AM37" s="187">
        <v>6</v>
      </c>
      <c r="AN37" s="32">
        <v>6</v>
      </c>
      <c r="AO37" s="32">
        <v>6</v>
      </c>
      <c r="AP37" s="32">
        <v>6</v>
      </c>
      <c r="AQ37" s="5"/>
      <c r="AR37" s="5"/>
      <c r="AS37" s="5"/>
      <c r="AT37" s="5"/>
      <c r="AU37" s="5"/>
    </row>
    <row r="38" spans="1:47" ht="22.7" customHeight="1">
      <c r="A38" s="139" t="s">
        <v>238</v>
      </c>
      <c r="B38" s="140"/>
      <c r="C38" s="213" t="s">
        <v>106</v>
      </c>
      <c r="D38" s="182"/>
      <c r="E38" s="181" t="s">
        <v>106</v>
      </c>
      <c r="F38" s="14"/>
      <c r="G38" s="182" t="s">
        <v>106</v>
      </c>
      <c r="H38" s="182" t="s">
        <v>106</v>
      </c>
      <c r="I38" s="182" t="s">
        <v>106</v>
      </c>
      <c r="J38" s="182" t="s">
        <v>106</v>
      </c>
      <c r="K38" s="182" t="s">
        <v>106</v>
      </c>
      <c r="L38" s="182" t="s">
        <v>106</v>
      </c>
      <c r="M38" s="182" t="s">
        <v>106</v>
      </c>
      <c r="N38" s="182" t="s">
        <v>106</v>
      </c>
      <c r="O38" s="182" t="s">
        <v>106</v>
      </c>
      <c r="P38" s="182" t="s">
        <v>106</v>
      </c>
      <c r="Q38" s="182" t="s">
        <v>106</v>
      </c>
      <c r="R38" s="182" t="s">
        <v>106</v>
      </c>
      <c r="S38" s="182" t="s">
        <v>106</v>
      </c>
      <c r="T38" s="182" t="s">
        <v>106</v>
      </c>
      <c r="U38" s="182" t="s">
        <v>106</v>
      </c>
      <c r="V38" s="182" t="s">
        <v>106</v>
      </c>
      <c r="W38" s="13" t="s">
        <v>106</v>
      </c>
      <c r="X38" s="13" t="s">
        <v>106</v>
      </c>
      <c r="Y38" s="182" t="s">
        <v>106</v>
      </c>
      <c r="AB38" s="182" t="s">
        <v>106</v>
      </c>
      <c r="AC38" s="182" t="s">
        <v>106</v>
      </c>
      <c r="AE38" s="182" t="s">
        <v>106</v>
      </c>
      <c r="AF38" s="182" t="s">
        <v>106</v>
      </c>
      <c r="AG38" s="182" t="s">
        <v>106</v>
      </c>
      <c r="AH38" s="13" t="s">
        <v>106</v>
      </c>
      <c r="AI38" s="182" t="s">
        <v>106</v>
      </c>
      <c r="AJ38" s="182" t="s">
        <v>106</v>
      </c>
      <c r="AK38" s="182" t="s">
        <v>106</v>
      </c>
      <c r="AL38" s="182" t="s">
        <v>106</v>
      </c>
      <c r="AM38" s="182" t="s">
        <v>106</v>
      </c>
      <c r="AN38" s="13" t="s">
        <v>106</v>
      </c>
      <c r="AO38" s="13" t="s">
        <v>106</v>
      </c>
      <c r="AP38" s="13" t="s">
        <v>106</v>
      </c>
      <c r="AQ38" s="5"/>
      <c r="AR38" s="5"/>
      <c r="AS38" s="5"/>
      <c r="AT38" s="5"/>
      <c r="AU38" s="5"/>
    </row>
    <row r="39" spans="1:47" ht="22.7" customHeight="1">
      <c r="A39" s="122" t="s">
        <v>107</v>
      </c>
      <c r="B39" s="121"/>
      <c r="C39" s="213">
        <v>30</v>
      </c>
      <c r="D39" s="182"/>
      <c r="E39" s="181">
        <v>1000</v>
      </c>
      <c r="F39" s="14"/>
      <c r="G39" s="182">
        <v>1000</v>
      </c>
      <c r="H39" s="182">
        <v>1000</v>
      </c>
      <c r="I39" s="182">
        <v>1000</v>
      </c>
      <c r="J39" s="182">
        <v>1000</v>
      </c>
      <c r="K39" s="182">
        <v>1000</v>
      </c>
      <c r="L39" s="182">
        <v>1000</v>
      </c>
      <c r="M39" s="182">
        <v>1000</v>
      </c>
      <c r="N39" s="182">
        <v>1000</v>
      </c>
      <c r="O39" s="182">
        <v>1000</v>
      </c>
      <c r="P39" s="182">
        <v>1000</v>
      </c>
      <c r="Q39" s="182">
        <v>1000</v>
      </c>
      <c r="R39" s="182">
        <v>1000</v>
      </c>
      <c r="S39" s="182">
        <v>1000</v>
      </c>
      <c r="T39" s="182">
        <v>1000</v>
      </c>
      <c r="U39" s="182">
        <v>1000</v>
      </c>
      <c r="V39" s="182">
        <v>1000</v>
      </c>
      <c r="W39" s="13">
        <v>1000</v>
      </c>
      <c r="X39" s="13">
        <v>1000</v>
      </c>
      <c r="Y39" s="182">
        <v>1000</v>
      </c>
      <c r="AB39" s="182">
        <v>1000</v>
      </c>
      <c r="AC39" s="182">
        <v>1000</v>
      </c>
      <c r="AE39" s="182">
        <v>1000</v>
      </c>
      <c r="AF39" s="182">
        <v>1000</v>
      </c>
      <c r="AG39" s="182">
        <v>1000</v>
      </c>
      <c r="AH39" s="13">
        <v>1000</v>
      </c>
      <c r="AI39" s="182">
        <v>1000</v>
      </c>
      <c r="AJ39" s="182">
        <v>1000</v>
      </c>
      <c r="AK39" s="182">
        <v>1000</v>
      </c>
      <c r="AL39" s="182">
        <v>1000</v>
      </c>
      <c r="AM39" s="182">
        <v>1000</v>
      </c>
      <c r="AN39" s="13">
        <v>1000</v>
      </c>
      <c r="AO39" s="13">
        <v>1000</v>
      </c>
      <c r="AP39" s="13">
        <v>1000</v>
      </c>
      <c r="AQ39" s="5"/>
      <c r="AR39" s="5"/>
      <c r="AS39" s="5"/>
      <c r="AT39" s="5"/>
      <c r="AU39" s="5"/>
    </row>
    <row r="40" spans="1:47" ht="22.7" customHeight="1" thickBot="1">
      <c r="A40" s="142" t="s">
        <v>108</v>
      </c>
      <c r="B40" s="155"/>
      <c r="C40" s="213" t="s">
        <v>106</v>
      </c>
      <c r="D40" s="182"/>
      <c r="E40" s="181" t="s">
        <v>106</v>
      </c>
      <c r="F40" s="14"/>
      <c r="G40" s="182" t="s">
        <v>106</v>
      </c>
      <c r="H40" s="182" t="s">
        <v>106</v>
      </c>
      <c r="I40" s="182" t="s">
        <v>106</v>
      </c>
      <c r="J40" s="182" t="s">
        <v>106</v>
      </c>
      <c r="K40" s="182" t="s">
        <v>106</v>
      </c>
      <c r="L40" s="182" t="s">
        <v>106</v>
      </c>
      <c r="M40" s="182" t="s">
        <v>106</v>
      </c>
      <c r="N40" s="182" t="s">
        <v>106</v>
      </c>
      <c r="O40" s="182" t="s">
        <v>106</v>
      </c>
      <c r="P40" s="182" t="s">
        <v>106</v>
      </c>
      <c r="Q40" s="182" t="s">
        <v>106</v>
      </c>
      <c r="R40" s="182" t="s">
        <v>106</v>
      </c>
      <c r="S40" s="182" t="s">
        <v>106</v>
      </c>
      <c r="T40" s="182" t="s">
        <v>106</v>
      </c>
      <c r="U40" s="182" t="s">
        <v>106</v>
      </c>
      <c r="V40" s="182" t="s">
        <v>106</v>
      </c>
      <c r="W40" s="13" t="s">
        <v>106</v>
      </c>
      <c r="X40" s="13" t="s">
        <v>106</v>
      </c>
      <c r="Y40" s="182" t="s">
        <v>106</v>
      </c>
      <c r="AB40" s="182" t="s">
        <v>106</v>
      </c>
      <c r="AC40" s="182" t="s">
        <v>106</v>
      </c>
      <c r="AE40" s="182" t="s">
        <v>106</v>
      </c>
      <c r="AF40" s="182" t="s">
        <v>106</v>
      </c>
      <c r="AG40" s="182" t="s">
        <v>106</v>
      </c>
      <c r="AH40" s="13" t="s">
        <v>106</v>
      </c>
      <c r="AI40" s="182" t="s">
        <v>106</v>
      </c>
      <c r="AJ40" s="182" t="s">
        <v>106</v>
      </c>
      <c r="AK40" s="182" t="s">
        <v>106</v>
      </c>
      <c r="AL40" s="182" t="s">
        <v>106</v>
      </c>
      <c r="AM40" s="182" t="s">
        <v>106</v>
      </c>
      <c r="AN40" s="13" t="s">
        <v>106</v>
      </c>
      <c r="AO40" s="13" t="s">
        <v>106</v>
      </c>
      <c r="AP40" s="13" t="s">
        <v>106</v>
      </c>
      <c r="AQ40" s="5"/>
      <c r="AR40" s="5"/>
      <c r="AS40" s="5"/>
      <c r="AT40" s="5"/>
      <c r="AU40" s="5"/>
    </row>
    <row r="41" spans="1:47" ht="22.7" customHeight="1" thickBot="1">
      <c r="A41" s="160" t="s">
        <v>109</v>
      </c>
      <c r="B41" s="161" t="s">
        <v>110</v>
      </c>
      <c r="C41" s="217">
        <v>0</v>
      </c>
      <c r="D41" s="182"/>
      <c r="E41" s="191">
        <v>0</v>
      </c>
      <c r="F41" s="53"/>
      <c r="G41" s="192">
        <v>0</v>
      </c>
      <c r="H41" s="192">
        <v>0</v>
      </c>
      <c r="I41" s="192">
        <v>0</v>
      </c>
      <c r="J41" s="192">
        <v>0</v>
      </c>
      <c r="K41" s="192">
        <v>0</v>
      </c>
      <c r="L41" s="192">
        <v>0</v>
      </c>
      <c r="M41" s="192">
        <v>0</v>
      </c>
      <c r="N41" s="192">
        <v>0</v>
      </c>
      <c r="O41" s="192">
        <v>0</v>
      </c>
      <c r="P41" s="192">
        <v>0</v>
      </c>
      <c r="Q41" s="192">
        <v>0</v>
      </c>
      <c r="R41" s="192">
        <v>0</v>
      </c>
      <c r="S41" s="192">
        <v>0</v>
      </c>
      <c r="T41" s="192">
        <v>0</v>
      </c>
      <c r="U41" s="192">
        <v>0</v>
      </c>
      <c r="V41" s="192">
        <v>0</v>
      </c>
      <c r="W41" s="54">
        <v>0</v>
      </c>
      <c r="X41" s="54">
        <v>0</v>
      </c>
      <c r="Y41" s="192">
        <v>0</v>
      </c>
      <c r="AB41" s="192">
        <v>0</v>
      </c>
      <c r="AC41" s="54">
        <v>0</v>
      </c>
      <c r="AE41" s="192">
        <v>0</v>
      </c>
      <c r="AF41" s="192">
        <v>0</v>
      </c>
      <c r="AG41" s="192">
        <v>0</v>
      </c>
      <c r="AH41" s="54">
        <v>0</v>
      </c>
      <c r="AI41" s="192">
        <v>0</v>
      </c>
      <c r="AJ41" s="192">
        <v>0</v>
      </c>
      <c r="AK41" s="192">
        <v>0</v>
      </c>
      <c r="AL41" s="192">
        <v>0</v>
      </c>
      <c r="AM41" s="192">
        <v>0</v>
      </c>
      <c r="AN41" s="54">
        <v>0</v>
      </c>
      <c r="AO41" s="54">
        <v>0</v>
      </c>
      <c r="AP41" s="54">
        <v>0</v>
      </c>
      <c r="AQ41" s="5"/>
      <c r="AR41" s="5"/>
      <c r="AS41" s="5"/>
      <c r="AT41" s="5"/>
      <c r="AU41" s="5"/>
    </row>
    <row r="42" spans="1:47" ht="22.7" customHeight="1">
      <c r="A42" s="154" t="s">
        <v>111</v>
      </c>
      <c r="B42" s="121"/>
      <c r="C42" s="218" t="s">
        <v>142</v>
      </c>
      <c r="D42" s="182"/>
      <c r="E42" s="193" t="s">
        <v>113</v>
      </c>
      <c r="F42" s="58"/>
      <c r="G42" s="194" t="s">
        <v>112</v>
      </c>
      <c r="H42" s="194" t="s">
        <v>141</v>
      </c>
      <c r="I42" s="194" t="s">
        <v>113</v>
      </c>
      <c r="J42" s="194" t="s">
        <v>142</v>
      </c>
      <c r="K42" s="194" t="s">
        <v>114</v>
      </c>
      <c r="L42" s="194" t="s">
        <v>115</v>
      </c>
      <c r="M42" s="194" t="s">
        <v>116</v>
      </c>
      <c r="N42" s="194" t="s">
        <v>117</v>
      </c>
      <c r="O42" s="194" t="s">
        <v>118</v>
      </c>
      <c r="P42" s="194" t="s">
        <v>118</v>
      </c>
      <c r="Q42" s="194" t="s">
        <v>119</v>
      </c>
      <c r="R42" s="194" t="s">
        <v>120</v>
      </c>
      <c r="S42" s="194" t="s">
        <v>121</v>
      </c>
      <c r="T42" s="194" t="s">
        <v>122</v>
      </c>
      <c r="U42" s="194" t="s">
        <v>123</v>
      </c>
      <c r="V42" s="194" t="s">
        <v>124</v>
      </c>
      <c r="W42" s="194" t="s">
        <v>125</v>
      </c>
      <c r="X42" s="194" t="s">
        <v>125</v>
      </c>
      <c r="Y42" s="194" t="s">
        <v>126</v>
      </c>
      <c r="AB42" s="194" t="s">
        <v>112</v>
      </c>
      <c r="AC42" s="194" t="s">
        <v>112</v>
      </c>
      <c r="AE42" s="194" t="s">
        <v>112</v>
      </c>
      <c r="AF42" s="194" t="s">
        <v>112</v>
      </c>
      <c r="AG42" s="194" t="s">
        <v>112</v>
      </c>
      <c r="AH42" s="58" t="s">
        <v>125</v>
      </c>
      <c r="AI42" s="194" t="s">
        <v>112</v>
      </c>
      <c r="AJ42" s="194" t="s">
        <v>112</v>
      </c>
      <c r="AK42" s="194" t="s">
        <v>112</v>
      </c>
      <c r="AL42" s="194" t="s">
        <v>112</v>
      </c>
      <c r="AM42" s="194" t="s">
        <v>112</v>
      </c>
      <c r="AN42" s="194" t="s">
        <v>112</v>
      </c>
      <c r="AO42" s="194" t="s">
        <v>112</v>
      </c>
      <c r="AP42" s="194" t="s">
        <v>112</v>
      </c>
      <c r="AQ42" s="5"/>
      <c r="AR42" s="5"/>
      <c r="AS42" s="5"/>
      <c r="AT42" s="5"/>
      <c r="AU42" s="5"/>
    </row>
    <row r="43" spans="1:47" ht="22.7" customHeight="1" thickBot="1">
      <c r="A43" s="119" t="s">
        <v>130</v>
      </c>
      <c r="B43" s="121"/>
      <c r="C43" s="219">
        <v>1</v>
      </c>
      <c r="D43" s="182"/>
      <c r="E43" s="181">
        <v>1</v>
      </c>
      <c r="F43" s="62"/>
      <c r="G43" s="182">
        <v>1</v>
      </c>
      <c r="H43" s="182">
        <v>1</v>
      </c>
      <c r="I43" s="182">
        <v>1</v>
      </c>
      <c r="J43" s="182">
        <v>1</v>
      </c>
      <c r="K43" s="182">
        <v>1</v>
      </c>
      <c r="L43" s="182">
        <v>1</v>
      </c>
      <c r="M43" s="182">
        <v>1</v>
      </c>
      <c r="N43" s="182">
        <v>1</v>
      </c>
      <c r="O43" s="182">
        <v>1</v>
      </c>
      <c r="P43" s="182">
        <v>2</v>
      </c>
      <c r="Q43" s="182">
        <v>1</v>
      </c>
      <c r="R43" s="182">
        <v>1</v>
      </c>
      <c r="S43" s="182">
        <v>1</v>
      </c>
      <c r="T43" s="182">
        <v>1</v>
      </c>
      <c r="U43" s="182">
        <v>1</v>
      </c>
      <c r="V43" s="182">
        <v>1</v>
      </c>
      <c r="W43" s="182">
        <v>1</v>
      </c>
      <c r="X43" s="182">
        <v>2</v>
      </c>
      <c r="Y43" s="182">
        <v>1</v>
      </c>
      <c r="AB43" s="182">
        <v>1</v>
      </c>
      <c r="AC43" s="182">
        <v>1</v>
      </c>
      <c r="AE43" s="195">
        <v>1</v>
      </c>
      <c r="AF43" s="195">
        <v>1</v>
      </c>
      <c r="AG43" s="195">
        <v>1</v>
      </c>
      <c r="AH43" s="63">
        <v>1</v>
      </c>
      <c r="AI43" s="195">
        <v>1</v>
      </c>
      <c r="AJ43" s="195">
        <v>1</v>
      </c>
      <c r="AK43" s="195">
        <v>1</v>
      </c>
      <c r="AL43" s="195">
        <v>1</v>
      </c>
      <c r="AM43" s="182">
        <v>1</v>
      </c>
      <c r="AN43" s="182">
        <v>1</v>
      </c>
      <c r="AO43" s="182">
        <v>1</v>
      </c>
      <c r="AP43" s="182">
        <v>1</v>
      </c>
      <c r="AQ43" s="5"/>
      <c r="AR43" s="5"/>
      <c r="AS43" s="5"/>
      <c r="AT43" s="5"/>
      <c r="AU43" s="5"/>
    </row>
    <row r="44" spans="1:47" ht="22.7" customHeight="1" thickBot="1">
      <c r="A44" s="119" t="s">
        <v>239</v>
      </c>
      <c r="B44" s="121"/>
      <c r="C44" s="220">
        <v>1</v>
      </c>
      <c r="D44" s="182"/>
      <c r="E44" s="181">
        <v>1</v>
      </c>
      <c r="F44" s="62"/>
      <c r="G44" s="182">
        <v>1</v>
      </c>
      <c r="H44" s="182">
        <v>1</v>
      </c>
      <c r="I44" s="182">
        <v>1</v>
      </c>
      <c r="J44" s="182">
        <v>1</v>
      </c>
      <c r="K44" s="182">
        <v>1</v>
      </c>
      <c r="L44" s="182">
        <v>1</v>
      </c>
      <c r="M44" s="182">
        <v>1</v>
      </c>
      <c r="N44" s="182">
        <v>1</v>
      </c>
      <c r="O44" s="182">
        <v>1</v>
      </c>
      <c r="P44" s="182">
        <v>1</v>
      </c>
      <c r="Q44" s="182">
        <v>1</v>
      </c>
      <c r="R44" s="182">
        <v>1</v>
      </c>
      <c r="S44" s="182">
        <v>1</v>
      </c>
      <c r="T44" s="182">
        <v>1</v>
      </c>
      <c r="U44" s="182">
        <v>1</v>
      </c>
      <c r="V44" s="182">
        <v>1</v>
      </c>
      <c r="W44" s="182">
        <v>1</v>
      </c>
      <c r="X44" s="182">
        <v>1</v>
      </c>
      <c r="Y44" s="182">
        <v>1</v>
      </c>
      <c r="AB44" s="195">
        <v>1</v>
      </c>
      <c r="AC44" s="195">
        <v>1</v>
      </c>
      <c r="AE44" s="195"/>
      <c r="AF44" s="195"/>
      <c r="AG44" s="195"/>
      <c r="AH44" s="63" t="s">
        <v>100</v>
      </c>
      <c r="AI44" s="195"/>
      <c r="AJ44" s="195"/>
      <c r="AK44" s="195">
        <v>1</v>
      </c>
      <c r="AL44" s="195">
        <v>1</v>
      </c>
      <c r="AM44" s="195">
        <v>1</v>
      </c>
      <c r="AN44" s="195">
        <v>1</v>
      </c>
      <c r="AO44" s="195">
        <v>1</v>
      </c>
      <c r="AP44" s="195">
        <v>1</v>
      </c>
      <c r="AQ44" s="5"/>
      <c r="AR44" s="5"/>
      <c r="AS44" s="5"/>
      <c r="AT44" s="5"/>
      <c r="AU44" s="5"/>
    </row>
    <row r="45" spans="1:47" ht="22.7" customHeight="1" thickBot="1">
      <c r="A45" s="162" t="s">
        <v>131</v>
      </c>
      <c r="B45" s="163" t="s">
        <v>240</v>
      </c>
      <c r="C45" s="217" t="s">
        <v>100</v>
      </c>
      <c r="D45" s="182"/>
      <c r="E45" s="196" t="s">
        <v>100</v>
      </c>
      <c r="G45" s="195" t="s">
        <v>100</v>
      </c>
      <c r="H45" s="195" t="s">
        <v>100</v>
      </c>
      <c r="I45" s="195" t="s">
        <v>100</v>
      </c>
      <c r="J45" s="195" t="s">
        <v>100</v>
      </c>
      <c r="K45" s="195" t="s">
        <v>100</v>
      </c>
      <c r="L45" s="195" t="s">
        <v>100</v>
      </c>
      <c r="M45" s="195" t="s">
        <v>100</v>
      </c>
      <c r="N45" s="195" t="s">
        <v>100</v>
      </c>
      <c r="O45" s="195" t="s">
        <v>100</v>
      </c>
      <c r="P45" s="195" t="s">
        <v>100</v>
      </c>
      <c r="Q45" s="195" t="s">
        <v>100</v>
      </c>
      <c r="R45" s="195" t="s">
        <v>100</v>
      </c>
      <c r="S45" s="195" t="s">
        <v>100</v>
      </c>
      <c r="T45" s="195" t="s">
        <v>100</v>
      </c>
      <c r="U45" s="195" t="s">
        <v>100</v>
      </c>
      <c r="V45" s="195" t="s">
        <v>100</v>
      </c>
      <c r="W45" s="195" t="s">
        <v>100</v>
      </c>
      <c r="X45" s="195" t="s">
        <v>100</v>
      </c>
      <c r="Y45" s="195" t="s">
        <v>100</v>
      </c>
      <c r="AB45" s="195" t="s">
        <v>100</v>
      </c>
      <c r="AC45" s="195" t="s">
        <v>100</v>
      </c>
      <c r="AE45" s="195" t="s">
        <v>100</v>
      </c>
      <c r="AF45" s="195" t="s">
        <v>100</v>
      </c>
      <c r="AG45" s="195" t="s">
        <v>100</v>
      </c>
      <c r="AH45"/>
      <c r="AI45" s="195" t="s">
        <v>100</v>
      </c>
      <c r="AJ45" s="195" t="s">
        <v>100</v>
      </c>
      <c r="AK45" s="195" t="s">
        <v>100</v>
      </c>
      <c r="AL45" s="195" t="s">
        <v>100</v>
      </c>
      <c r="AM45" s="195" t="s">
        <v>100</v>
      </c>
      <c r="AN45" s="195" t="s">
        <v>100</v>
      </c>
      <c r="AO45" s="195" t="s">
        <v>100</v>
      </c>
      <c r="AP45" s="195" t="s">
        <v>100</v>
      </c>
      <c r="AQ45" s="5"/>
      <c r="AR45" s="5"/>
      <c r="AS45" s="5"/>
      <c r="AT45" s="5"/>
      <c r="AU45" s="5"/>
    </row>
    <row r="46" spans="1:47" ht="22.7" customHeight="1">
      <c r="A46" s="164" t="s">
        <v>241</v>
      </c>
      <c r="B46" s="165"/>
      <c r="C46" s="218">
        <v>100</v>
      </c>
      <c r="D46" s="197"/>
      <c r="E46" s="197">
        <v>80</v>
      </c>
      <c r="G46" s="197">
        <v>100</v>
      </c>
      <c r="H46" s="197">
        <v>100</v>
      </c>
      <c r="I46" s="197">
        <v>100</v>
      </c>
      <c r="J46" s="197">
        <v>100</v>
      </c>
      <c r="K46" s="197">
        <v>100</v>
      </c>
      <c r="L46" s="197">
        <v>100</v>
      </c>
      <c r="M46" s="197">
        <v>100</v>
      </c>
      <c r="N46" s="197">
        <v>100</v>
      </c>
      <c r="O46" s="197">
        <v>100</v>
      </c>
      <c r="P46" s="198">
        <v>90</v>
      </c>
      <c r="Q46" s="197">
        <v>100</v>
      </c>
      <c r="R46" s="197">
        <v>100</v>
      </c>
      <c r="S46" s="197">
        <v>100</v>
      </c>
      <c r="T46" s="197">
        <v>100</v>
      </c>
      <c r="U46" s="197">
        <v>100</v>
      </c>
      <c r="V46" s="197">
        <v>100</v>
      </c>
      <c r="W46" s="198">
        <v>90</v>
      </c>
      <c r="X46" s="197">
        <v>100</v>
      </c>
      <c r="Y46" s="197">
        <v>100</v>
      </c>
      <c r="AB46" s="199">
        <v>100</v>
      </c>
      <c r="AC46" s="197">
        <v>90</v>
      </c>
      <c r="AE46" s="200">
        <v>100</v>
      </c>
      <c r="AF46" s="200">
        <v>100</v>
      </c>
      <c r="AG46" s="200">
        <v>100</v>
      </c>
      <c r="AH46"/>
      <c r="AI46" s="200">
        <v>100</v>
      </c>
      <c r="AJ46" s="200">
        <v>100</v>
      </c>
      <c r="AK46" s="201">
        <v>100</v>
      </c>
      <c r="AL46" s="201">
        <v>80</v>
      </c>
      <c r="AM46" s="200">
        <v>100</v>
      </c>
      <c r="AN46" s="200">
        <v>100</v>
      </c>
      <c r="AO46" s="200">
        <v>100</v>
      </c>
      <c r="AP46" s="201">
        <v>90</v>
      </c>
      <c r="AQ46" s="5"/>
      <c r="AR46" s="5"/>
      <c r="AS46" s="5"/>
      <c r="AT46" s="5"/>
      <c r="AU46" s="5"/>
    </row>
    <row r="47" spans="1:47" ht="22.7" customHeight="1">
      <c r="A47" s="166" t="s">
        <v>242</v>
      </c>
      <c r="B47" s="167"/>
      <c r="C47" s="220">
        <v>25</v>
      </c>
      <c r="D47" s="202"/>
      <c r="E47" s="202">
        <v>5</v>
      </c>
      <c r="G47" s="202">
        <v>20</v>
      </c>
      <c r="H47" s="202">
        <v>20</v>
      </c>
      <c r="I47" s="202">
        <v>20</v>
      </c>
      <c r="J47" s="202">
        <v>20</v>
      </c>
      <c r="K47" s="202">
        <v>20</v>
      </c>
      <c r="L47" s="202">
        <v>20</v>
      </c>
      <c r="M47" s="202">
        <v>20</v>
      </c>
      <c r="N47" s="202">
        <v>20</v>
      </c>
      <c r="O47" s="202">
        <v>20</v>
      </c>
      <c r="P47" s="203">
        <v>20</v>
      </c>
      <c r="Q47" s="202">
        <v>20</v>
      </c>
      <c r="R47" s="202">
        <v>20</v>
      </c>
      <c r="S47" s="202">
        <v>20</v>
      </c>
      <c r="T47" s="202">
        <v>20</v>
      </c>
      <c r="U47" s="202">
        <v>20</v>
      </c>
      <c r="V47" s="202">
        <v>20</v>
      </c>
      <c r="W47" s="203">
        <v>20</v>
      </c>
      <c r="X47" s="202">
        <v>20</v>
      </c>
      <c r="Y47" s="202">
        <v>20</v>
      </c>
      <c r="AB47" s="204">
        <v>20</v>
      </c>
      <c r="AC47" s="202">
        <v>20</v>
      </c>
      <c r="AE47" s="200"/>
      <c r="AF47" s="200"/>
      <c r="AG47" s="200"/>
      <c r="AH47"/>
      <c r="AI47" s="200"/>
      <c r="AJ47" s="200"/>
      <c r="AK47" s="201">
        <v>20</v>
      </c>
      <c r="AL47" s="201">
        <v>30</v>
      </c>
      <c r="AM47" s="200">
        <v>20</v>
      </c>
      <c r="AN47" s="200">
        <v>20</v>
      </c>
      <c r="AO47" s="200">
        <v>20</v>
      </c>
      <c r="AP47" s="201">
        <v>20</v>
      </c>
      <c r="AQ47" s="5"/>
      <c r="AR47" s="5"/>
      <c r="AS47" s="5"/>
      <c r="AT47" s="5"/>
      <c r="AU47" s="5"/>
    </row>
    <row r="48" spans="1:47" ht="22.7" customHeight="1">
      <c r="A48" s="205" t="s">
        <v>268</v>
      </c>
      <c r="B48" s="206"/>
      <c r="C48" s="221" t="b">
        <f>FALSE</f>
        <v>0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</row>
    <row r="49" spans="1:47" ht="22.7" customHeight="1">
      <c r="A49" s="205" t="s">
        <v>275</v>
      </c>
      <c r="B49" s="206"/>
      <c r="C49" s="222">
        <v>0.32400000000000001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</row>
    <row r="50" spans="1:47" ht="22.7" customHeight="1">
      <c r="A50" s="205" t="s">
        <v>269</v>
      </c>
      <c r="B50" s="206"/>
      <c r="C50" s="222">
        <v>0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</row>
    <row r="51" spans="1:47" ht="22.7" customHeight="1">
      <c r="A51" s="205" t="s">
        <v>270</v>
      </c>
      <c r="B51" s="206"/>
      <c r="C51" s="222">
        <v>0</v>
      </c>
      <c r="AJ51" s="5"/>
      <c r="AK51" s="5"/>
    </row>
    <row r="52" spans="1:47" ht="22.7" customHeight="1">
      <c r="A52" s="205" t="s">
        <v>271</v>
      </c>
      <c r="B52" s="206"/>
      <c r="C52" s="222">
        <v>0</v>
      </c>
      <c r="AJ52" s="5"/>
      <c r="AK52" s="5"/>
    </row>
    <row r="53" spans="1:47" ht="22.7" customHeight="1">
      <c r="A53" s="205" t="s">
        <v>272</v>
      </c>
      <c r="B53" s="206"/>
      <c r="C53" s="222">
        <v>1</v>
      </c>
      <c r="AJ53" s="5"/>
      <c r="AK53" s="5"/>
    </row>
    <row r="54" spans="1:47" ht="22.7" customHeight="1">
      <c r="A54" s="205" t="s">
        <v>273</v>
      </c>
      <c r="B54" s="206"/>
      <c r="C54" s="222">
        <v>50</v>
      </c>
      <c r="AJ54" s="5"/>
      <c r="AK54" s="5"/>
    </row>
    <row r="55" spans="1:47" ht="22.7" customHeight="1">
      <c r="A55" s="207" t="s">
        <v>274</v>
      </c>
      <c r="B55" s="208"/>
      <c r="C55" s="223">
        <v>15</v>
      </c>
      <c r="AJ55" s="5"/>
      <c r="AK55" s="5"/>
    </row>
    <row r="56" spans="1:47" ht="22.7" customHeight="1">
      <c r="AJ56" s="5"/>
      <c r="AK56" s="5"/>
    </row>
    <row r="57" spans="1:47" ht="22.7" customHeight="1">
      <c r="AJ57" s="5"/>
      <c r="AK57" s="5"/>
    </row>
    <row r="58" spans="1:47" ht="22.7" customHeight="1">
      <c r="AJ58" s="5"/>
      <c r="AK58" s="5"/>
    </row>
    <row r="59" spans="1:47" ht="22.7" customHeight="1">
      <c r="AJ59" s="5"/>
      <c r="AK59" s="5"/>
    </row>
    <row r="60" spans="1:47" ht="22.7" customHeight="1">
      <c r="AJ60" s="5"/>
      <c r="AK60" s="5"/>
    </row>
    <row r="61" spans="1:47" ht="22.7" customHeight="1">
      <c r="AJ61" s="5"/>
      <c r="AK61" s="5"/>
    </row>
    <row r="62" spans="1:47" ht="22.7" customHeight="1">
      <c r="AJ62" s="5"/>
      <c r="AK62" s="5"/>
    </row>
    <row r="63" spans="1:47" ht="22.7" customHeight="1">
      <c r="AJ63" s="5"/>
      <c r="AK63" s="5"/>
    </row>
    <row r="64" spans="1:47" ht="22.7" customHeight="1">
      <c r="AJ64" s="5"/>
      <c r="AK64" s="5"/>
    </row>
    <row r="65" spans="36:37" ht="22.7" customHeight="1">
      <c r="AJ65" s="5"/>
      <c r="AK65" s="5"/>
    </row>
    <row r="66" spans="36:37" ht="22.7" customHeight="1">
      <c r="AJ66" s="5"/>
      <c r="AK66" s="5"/>
    </row>
    <row r="67" spans="36:37" ht="22.7" customHeight="1">
      <c r="AJ67" s="5"/>
      <c r="AK67" s="5"/>
    </row>
    <row r="68" spans="36:37" ht="22.7" customHeight="1">
      <c r="AJ68" s="5"/>
      <c r="AK68" s="5"/>
    </row>
    <row r="69" spans="36:37" ht="22.7" customHeight="1">
      <c r="AJ69" s="5"/>
      <c r="AK69" s="5"/>
    </row>
    <row r="70" spans="36:37">
      <c r="AJ70" s="5"/>
      <c r="AK70" s="5"/>
    </row>
    <row r="71" spans="36:37">
      <c r="AJ71" s="5"/>
      <c r="AK71" s="5"/>
    </row>
    <row r="72" spans="36:37">
      <c r="AJ72" s="5"/>
      <c r="AK72" s="5"/>
    </row>
    <row r="73" spans="36:37">
      <c r="AJ73" s="5"/>
      <c r="AK73" s="5"/>
    </row>
    <row r="74" spans="36:37">
      <c r="AJ74" s="5"/>
      <c r="AK74" s="5"/>
    </row>
    <row r="75" spans="36:37">
      <c r="AJ75" s="5"/>
      <c r="AK75" s="5"/>
    </row>
    <row r="76" spans="36:37">
      <c r="AJ76" s="5"/>
      <c r="AK76" s="5"/>
    </row>
    <row r="77" spans="36:37">
      <c r="AJ77" s="5"/>
      <c r="AK77" s="5"/>
    </row>
    <row r="78" spans="36:37">
      <c r="AJ78" s="5"/>
      <c r="AK78" s="5"/>
    </row>
    <row r="79" spans="36:37">
      <c r="AJ79" s="5"/>
      <c r="AK79" s="5"/>
    </row>
    <row r="80" spans="36:37">
      <c r="AJ80" s="5"/>
      <c r="AK80" s="5"/>
    </row>
    <row r="81" spans="36:37">
      <c r="AJ81" s="5"/>
      <c r="AK81" s="5"/>
    </row>
    <row r="82" spans="36:37">
      <c r="AJ82" s="5"/>
      <c r="AK82" s="5"/>
    </row>
    <row r="83" spans="36:37">
      <c r="AJ83" s="5"/>
      <c r="AK83" s="5"/>
    </row>
    <row r="84" spans="36:37">
      <c r="AJ84" s="5"/>
      <c r="AK84" s="5"/>
    </row>
    <row r="85" spans="36:37">
      <c r="AJ85" s="5"/>
      <c r="AK85" s="5"/>
    </row>
    <row r="86" spans="36:37">
      <c r="AJ86" s="5"/>
      <c r="AK86" s="5"/>
    </row>
    <row r="87" spans="36:37">
      <c r="AJ87" s="5"/>
      <c r="AK87" s="5"/>
    </row>
    <row r="88" spans="36:37">
      <c r="AJ88" s="5"/>
      <c r="AK88" s="5"/>
    </row>
    <row r="89" spans="36:37">
      <c r="AJ89" s="5"/>
      <c r="AK89" s="5"/>
    </row>
    <row r="90" spans="36:37">
      <c r="AJ90" s="5"/>
      <c r="AK90" s="5"/>
    </row>
    <row r="91" spans="36:37">
      <c r="AJ91" s="5"/>
      <c r="AK91" s="5"/>
    </row>
    <row r="92" spans="36:37">
      <c r="AJ92" s="5"/>
      <c r="AK92" s="5"/>
    </row>
    <row r="93" spans="36:37">
      <c r="AJ93" s="5"/>
      <c r="AK93" s="5"/>
    </row>
    <row r="94" spans="36:37">
      <c r="AJ94" s="5"/>
      <c r="AK94" s="5"/>
    </row>
    <row r="95" spans="36:37">
      <c r="AJ95" s="5"/>
      <c r="AK95" s="5"/>
    </row>
    <row r="96" spans="36:37">
      <c r="AJ96" s="5"/>
      <c r="AK96" s="5"/>
    </row>
    <row r="97" spans="36:37">
      <c r="AJ97" s="5"/>
      <c r="AK97" s="5"/>
    </row>
    <row r="98" spans="36:37">
      <c r="AJ98" s="5"/>
      <c r="AK98" s="5"/>
    </row>
    <row r="99" spans="36:37">
      <c r="AJ99" s="5"/>
      <c r="AK99" s="5"/>
    </row>
    <row r="100" spans="36:37">
      <c r="AJ100" s="5"/>
      <c r="AK100" s="5"/>
    </row>
    <row r="101" spans="36:37">
      <c r="AJ101" s="5"/>
      <c r="AK101" s="5"/>
    </row>
    <row r="102" spans="36:37">
      <c r="AJ102" s="5"/>
      <c r="AK102" s="5"/>
    </row>
    <row r="103" spans="36:37">
      <c r="AJ103" s="5"/>
      <c r="AK103" s="5"/>
    </row>
    <row r="104" spans="36:37">
      <c r="AJ104" s="5"/>
      <c r="AK104" s="5"/>
    </row>
    <row r="105" spans="36:37">
      <c r="AJ105" s="5"/>
      <c r="AK105" s="5"/>
    </row>
    <row r="106" spans="36:37">
      <c r="AJ106" s="5"/>
      <c r="AK106" s="5"/>
    </row>
    <row r="107" spans="36:37">
      <c r="AJ107" s="5"/>
      <c r="AK107" s="5"/>
    </row>
    <row r="108" spans="36:37">
      <c r="AJ108" s="5"/>
      <c r="AK108" s="5"/>
    </row>
    <row r="109" spans="36:37">
      <c r="AJ109" s="5"/>
      <c r="AK109" s="5"/>
    </row>
    <row r="110" spans="36:37">
      <c r="AJ110" s="5"/>
      <c r="AK110" s="5"/>
    </row>
    <row r="111" spans="36:37">
      <c r="AJ111" s="5"/>
      <c r="AK111" s="5"/>
    </row>
    <row r="112" spans="36:37">
      <c r="AJ112" s="5"/>
      <c r="AK112" s="5"/>
    </row>
    <row r="113" spans="36:37">
      <c r="AJ113" s="5"/>
      <c r="AK113" s="5"/>
    </row>
    <row r="114" spans="36:37">
      <c r="AJ114" s="5"/>
      <c r="AK114" s="5"/>
    </row>
    <row r="115" spans="36:37">
      <c r="AJ115" s="5"/>
      <c r="AK115" s="5"/>
    </row>
    <row r="116" spans="36:37">
      <c r="AJ116" s="5"/>
      <c r="AK116" s="5"/>
    </row>
    <row r="117" spans="36:37">
      <c r="AJ117" s="5"/>
      <c r="AK117" s="5"/>
    </row>
    <row r="118" spans="36:37">
      <c r="AJ118" s="5"/>
      <c r="AK118" s="5"/>
    </row>
    <row r="119" spans="36:37">
      <c r="AJ119" s="5"/>
      <c r="AK119" s="5"/>
    </row>
    <row r="120" spans="36:37">
      <c r="AJ120" s="5"/>
      <c r="AK120" s="5"/>
    </row>
    <row r="121" spans="36:37">
      <c r="AJ121" s="5"/>
      <c r="AK121" s="5"/>
    </row>
    <row r="122" spans="36:37">
      <c r="AJ122" s="5"/>
      <c r="AK122" s="5"/>
    </row>
    <row r="123" spans="36:37">
      <c r="AJ123" s="5"/>
      <c r="AK123" s="5"/>
    </row>
    <row r="124" spans="36:37">
      <c r="AJ124" s="5"/>
      <c r="AK124" s="5"/>
    </row>
    <row r="125" spans="36:37">
      <c r="AJ125" s="5"/>
      <c r="AK125" s="5"/>
    </row>
    <row r="126" spans="36:37">
      <c r="AJ126" s="5"/>
      <c r="AK126" s="5"/>
    </row>
    <row r="127" spans="36:37">
      <c r="AJ127" s="5"/>
      <c r="AK127" s="5"/>
    </row>
    <row r="128" spans="36:37">
      <c r="AJ128" s="5"/>
      <c r="AK128" s="5"/>
    </row>
    <row r="129" spans="25:37">
      <c r="AJ129" s="5"/>
      <c r="AK129" s="5"/>
    </row>
    <row r="130" spans="25:37">
      <c r="AJ130" s="5"/>
      <c r="AK130" s="5"/>
    </row>
    <row r="131" spans="25:37">
      <c r="AJ131" s="5"/>
      <c r="AK131" s="5"/>
    </row>
    <row r="132" spans="25:37">
      <c r="AJ132" s="5"/>
      <c r="AK132" s="5"/>
    </row>
    <row r="133" spans="25:37">
      <c r="AJ133" s="5"/>
      <c r="AK133" s="5"/>
    </row>
    <row r="134" spans="25:37">
      <c r="AJ134" s="5"/>
      <c r="AK134" s="5"/>
    </row>
    <row r="135" spans="25:37">
      <c r="AJ135" s="5"/>
      <c r="AK135" s="5"/>
    </row>
    <row r="136" spans="25:37">
      <c r="AJ136" s="5"/>
      <c r="AK136" s="5"/>
    </row>
    <row r="137" spans="25:37">
      <c r="AJ137" s="5"/>
      <c r="AK137" s="5"/>
    </row>
    <row r="138" spans="25:37">
      <c r="Y138" s="1" t="s">
        <v>65</v>
      </c>
      <c r="AJ138" s="5"/>
      <c r="AK138" s="5"/>
    </row>
    <row r="139" spans="25:37">
      <c r="AJ139" s="5"/>
      <c r="AK139" s="5"/>
    </row>
    <row r="140" spans="25:37">
      <c r="AJ140" s="5"/>
      <c r="AK140" s="5"/>
    </row>
    <row r="141" spans="25:37">
      <c r="AJ141" s="5"/>
      <c r="AK141" s="5"/>
    </row>
    <row r="142" spans="25:37">
      <c r="AJ142" s="5"/>
      <c r="AK142" s="5"/>
    </row>
    <row r="143" spans="25:37">
      <c r="AJ143" s="5"/>
      <c r="AK143" s="5"/>
    </row>
    <row r="144" spans="25:37">
      <c r="AJ144" s="5"/>
      <c r="AK144" s="5"/>
    </row>
    <row r="145" spans="36:37">
      <c r="AJ145" s="5"/>
      <c r="AK145" s="5"/>
    </row>
    <row r="146" spans="36:37">
      <c r="AJ146" s="5"/>
      <c r="AK146" s="5"/>
    </row>
    <row r="147" spans="36:37">
      <c r="AJ147" s="5"/>
      <c r="AK147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N167"/>
  <sheetViews>
    <sheetView topLeftCell="A16" zoomScale="70" zoomScaleNormal="70" workbookViewId="0">
      <selection activeCell="C2" sqref="C2:C47"/>
    </sheetView>
  </sheetViews>
  <sheetFormatPr defaultColWidth="8.85546875" defaultRowHeight="15"/>
  <cols>
    <col min="1" max="1" width="28.5703125" style="1" customWidth="1"/>
    <col min="2" max="2" width="31.140625" style="1" customWidth="1"/>
    <col min="3" max="4" width="18.42578125" customWidth="1"/>
    <col min="5" max="6" width="19.42578125" style="1" customWidth="1"/>
    <col min="7" max="7" width="17.28515625" style="1" customWidth="1"/>
    <col min="8" max="8" width="18.85546875" style="1" customWidth="1"/>
    <col min="9" max="26" width="17.28515625" style="1" customWidth="1"/>
    <col min="27" max="27" width="21.140625" style="1" customWidth="1"/>
    <col min="28" max="29" width="8.85546875" style="1"/>
    <col min="30" max="38" width="16.5703125" style="1" customWidth="1"/>
    <col min="39" max="54" width="18.85546875" style="1" customWidth="1"/>
    <col min="55" max="1018" width="8.85546875" style="1"/>
    <col min="1019" max="1027" width="11.5703125" style="1" customWidth="1"/>
  </cols>
  <sheetData>
    <row r="1" spans="1:1028" s="5" customFormat="1" ht="39" customHeight="1" thickBot="1">
      <c r="A1" s="2" t="s">
        <v>0</v>
      </c>
      <c r="B1" s="3" t="s">
        <v>1</v>
      </c>
      <c r="C1"/>
      <c r="D1"/>
      <c r="E1"/>
      <c r="F1" s="4"/>
      <c r="G1" s="4" t="s">
        <v>1</v>
      </c>
      <c r="AB1" s="4" t="s">
        <v>1</v>
      </c>
      <c r="AME1" s="1"/>
      <c r="AMF1" s="1"/>
      <c r="AMG1" s="1"/>
      <c r="AMH1" s="1"/>
      <c r="AMI1" s="1"/>
      <c r="AMJ1" s="1"/>
      <c r="AMK1" s="1"/>
      <c r="AML1" s="1"/>
      <c r="AMM1" s="1"/>
      <c r="AMN1" s="1"/>
    </row>
    <row r="2" spans="1:1028" s="5" customFormat="1" ht="48" customHeight="1" thickBot="1">
      <c r="A2" s="6" t="s">
        <v>2</v>
      </c>
      <c r="B2" s="7"/>
      <c r="C2" s="99" t="s">
        <v>221</v>
      </c>
      <c r="D2" s="99"/>
      <c r="E2" s="81" t="s">
        <v>220</v>
      </c>
      <c r="F2" s="8"/>
      <c r="G2" s="8" t="s">
        <v>219</v>
      </c>
      <c r="I2" s="9" t="s">
        <v>4</v>
      </c>
      <c r="K2" s="8" t="s">
        <v>5</v>
      </c>
      <c r="L2" s="9" t="s">
        <v>6</v>
      </c>
      <c r="M2" s="9" t="s">
        <v>7</v>
      </c>
      <c r="N2" s="10" t="s">
        <v>8</v>
      </c>
      <c r="O2" s="10" t="s">
        <v>9</v>
      </c>
      <c r="P2" s="10" t="s">
        <v>10</v>
      </c>
      <c r="Q2" s="10" t="s">
        <v>11</v>
      </c>
      <c r="R2" s="9" t="s">
        <v>12</v>
      </c>
      <c r="S2" s="9" t="s">
        <v>13</v>
      </c>
      <c r="T2" s="10" t="s">
        <v>14</v>
      </c>
      <c r="U2" s="9" t="s">
        <v>15</v>
      </c>
      <c r="V2" s="10" t="s">
        <v>16</v>
      </c>
      <c r="W2" s="10" t="s">
        <v>17</v>
      </c>
      <c r="X2" s="9" t="s">
        <v>18</v>
      </c>
      <c r="Y2" s="9" t="s">
        <v>19</v>
      </c>
      <c r="Z2" s="9" t="s">
        <v>20</v>
      </c>
      <c r="AB2" s="9" t="s">
        <v>21</v>
      </c>
      <c r="AD2" s="11">
        <v>44092</v>
      </c>
      <c r="AE2" s="9" t="s">
        <v>22</v>
      </c>
      <c r="AF2" s="9" t="s">
        <v>23</v>
      </c>
      <c r="AG2" s="9" t="s">
        <v>24</v>
      </c>
      <c r="AH2" s="9" t="s">
        <v>25</v>
      </c>
      <c r="AI2" s="9" t="s">
        <v>26</v>
      </c>
      <c r="AJ2" s="9" t="s">
        <v>27</v>
      </c>
      <c r="AK2" s="9" t="s">
        <v>28</v>
      </c>
      <c r="AL2" s="9" t="s">
        <v>29</v>
      </c>
      <c r="AN2" s="9" t="s">
        <v>30</v>
      </c>
      <c r="AO2" s="9" t="s">
        <v>31</v>
      </c>
      <c r="AME2" s="1"/>
      <c r="AMF2" s="1"/>
      <c r="AMG2" s="1"/>
      <c r="AMH2" s="1"/>
      <c r="AMI2" s="1"/>
      <c r="AMJ2" s="1"/>
      <c r="AMK2" s="1"/>
      <c r="AML2" s="1"/>
      <c r="AMM2" s="1"/>
      <c r="AMN2" s="1"/>
    </row>
    <row r="3" spans="1:1028" ht="37.5">
      <c r="A3" s="6" t="s">
        <v>32</v>
      </c>
      <c r="B3" s="12" t="s">
        <v>33</v>
      </c>
      <c r="C3" s="82" t="s">
        <v>49</v>
      </c>
      <c r="D3" s="82"/>
      <c r="E3" s="82" t="s">
        <v>40</v>
      </c>
      <c r="F3" s="13"/>
      <c r="G3" s="13" t="s">
        <v>34</v>
      </c>
      <c r="H3" s="14" t="s">
        <v>35</v>
      </c>
      <c r="I3" s="13" t="s">
        <v>36</v>
      </c>
      <c r="J3" s="5"/>
      <c r="K3" s="15" t="s">
        <v>37</v>
      </c>
      <c r="L3" s="13" t="s">
        <v>38</v>
      </c>
      <c r="M3" s="13" t="s">
        <v>39</v>
      </c>
      <c r="N3" s="13" t="s">
        <v>40</v>
      </c>
      <c r="O3" s="13" t="s">
        <v>41</v>
      </c>
      <c r="P3" s="13" t="s">
        <v>42</v>
      </c>
      <c r="Q3" s="13" t="s">
        <v>43</v>
      </c>
      <c r="R3" s="13" t="s">
        <v>44</v>
      </c>
      <c r="S3" s="13" t="s">
        <v>45</v>
      </c>
      <c r="T3" s="16" t="s">
        <v>46</v>
      </c>
      <c r="U3" s="13" t="s">
        <v>47</v>
      </c>
      <c r="V3" s="13" t="s">
        <v>48</v>
      </c>
      <c r="W3" s="13" t="s">
        <v>49</v>
      </c>
      <c r="X3" s="13" t="s">
        <v>50</v>
      </c>
      <c r="Y3" s="13" t="s">
        <v>51</v>
      </c>
      <c r="Z3" s="13" t="s">
        <v>52</v>
      </c>
      <c r="AA3" s="5"/>
      <c r="AB3" s="13" t="s">
        <v>53</v>
      </c>
      <c r="AC3" s="5"/>
      <c r="AD3" s="5"/>
      <c r="AE3" s="13" t="s">
        <v>50</v>
      </c>
      <c r="AF3" s="13" t="s">
        <v>50</v>
      </c>
      <c r="AG3" s="13" t="s">
        <v>50</v>
      </c>
      <c r="AH3" s="13" t="s">
        <v>50</v>
      </c>
      <c r="AI3" s="13" t="s">
        <v>50</v>
      </c>
      <c r="AJ3" s="13" t="s">
        <v>50</v>
      </c>
      <c r="AK3" s="13" t="s">
        <v>50</v>
      </c>
      <c r="AL3" s="13" t="s">
        <v>50</v>
      </c>
      <c r="AN3" s="13" t="s">
        <v>50</v>
      </c>
      <c r="AO3" s="13" t="s">
        <v>50</v>
      </c>
      <c r="AMN3" s="1"/>
    </row>
    <row r="4" spans="1:1028" ht="17.100000000000001" customHeight="1" thickBot="1">
      <c r="A4" s="6" t="s">
        <v>54</v>
      </c>
      <c r="B4" s="12" t="s">
        <v>55</v>
      </c>
      <c r="C4" s="100" t="s">
        <v>56</v>
      </c>
      <c r="D4" s="100"/>
      <c r="E4" s="82" t="s">
        <v>56</v>
      </c>
      <c r="F4" s="14"/>
      <c r="G4" s="14" t="s">
        <v>56</v>
      </c>
      <c r="H4" s="14" t="s">
        <v>57</v>
      </c>
      <c r="I4" s="17" t="s">
        <v>56</v>
      </c>
      <c r="J4" s="5"/>
      <c r="K4" s="14" t="s">
        <v>56</v>
      </c>
      <c r="L4" s="18" t="s">
        <v>58</v>
      </c>
      <c r="M4" s="14" t="s">
        <v>56</v>
      </c>
      <c r="N4" s="14" t="s">
        <v>56</v>
      </c>
      <c r="O4" s="14" t="s">
        <v>56</v>
      </c>
      <c r="P4" s="14" t="s">
        <v>56</v>
      </c>
      <c r="Q4" s="14" t="s">
        <v>56</v>
      </c>
      <c r="R4" s="14" t="s">
        <v>56</v>
      </c>
      <c r="S4" s="14" t="s">
        <v>56</v>
      </c>
      <c r="T4" s="14" t="s">
        <v>56</v>
      </c>
      <c r="U4" s="14" t="s">
        <v>56</v>
      </c>
      <c r="V4" s="14" t="s">
        <v>56</v>
      </c>
      <c r="W4" s="14" t="s">
        <v>56</v>
      </c>
      <c r="X4" s="14" t="s">
        <v>56</v>
      </c>
      <c r="Y4" s="14" t="s">
        <v>56</v>
      </c>
      <c r="Z4" s="14" t="s">
        <v>56</v>
      </c>
      <c r="AA4" s="5"/>
      <c r="AB4" s="14" t="s">
        <v>56</v>
      </c>
      <c r="AC4" s="18" t="s">
        <v>58</v>
      </c>
      <c r="AD4" s="5"/>
      <c r="AE4" s="17" t="s">
        <v>59</v>
      </c>
      <c r="AF4" s="17" t="s">
        <v>59</v>
      </c>
      <c r="AG4" s="17" t="s">
        <v>60</v>
      </c>
      <c r="AH4" s="17" t="s">
        <v>60</v>
      </c>
      <c r="AI4" s="17" t="s">
        <v>60</v>
      </c>
      <c r="AJ4" s="17" t="s">
        <v>60</v>
      </c>
      <c r="AK4" s="17" t="s">
        <v>60</v>
      </c>
      <c r="AL4" s="17" t="s">
        <v>60</v>
      </c>
      <c r="AN4" s="14" t="s">
        <v>61</v>
      </c>
      <c r="AO4" s="17" t="s">
        <v>56</v>
      </c>
      <c r="AMN4" s="1"/>
    </row>
    <row r="5" spans="1:1028" ht="51.6" customHeight="1" thickBot="1">
      <c r="A5" s="6" t="s">
        <v>62</v>
      </c>
      <c r="B5" s="12"/>
      <c r="C5" s="83">
        <v>0.22700000000000001</v>
      </c>
      <c r="D5" s="83"/>
      <c r="E5" s="83">
        <v>0.2</v>
      </c>
      <c r="F5" s="19"/>
      <c r="G5" s="19">
        <v>0.32400000000000001</v>
      </c>
      <c r="H5" s="5"/>
      <c r="I5" s="20">
        <v>7.9999999999999996E-6</v>
      </c>
      <c r="J5" s="5"/>
      <c r="K5" s="19">
        <v>0.30599999999999999</v>
      </c>
      <c r="L5" s="21">
        <v>0.2</v>
      </c>
      <c r="M5" s="21">
        <v>0.2</v>
      </c>
      <c r="N5" s="19">
        <v>0.2</v>
      </c>
      <c r="O5" s="19">
        <v>0.2</v>
      </c>
      <c r="P5" s="19">
        <v>0.2</v>
      </c>
      <c r="Q5" s="19">
        <v>0.17899999999999999</v>
      </c>
      <c r="R5" s="21">
        <v>0.17899999999999999</v>
      </c>
      <c r="S5" s="21">
        <v>0.17899999999999999</v>
      </c>
      <c r="T5" s="21">
        <v>0.17899999999999999</v>
      </c>
      <c r="U5" s="21">
        <v>0.17899999999999999</v>
      </c>
      <c r="V5" s="19">
        <v>0.22700000000000001</v>
      </c>
      <c r="W5" s="21">
        <v>0.22700000000000001</v>
      </c>
      <c r="X5" s="21">
        <v>0.17899999999999999</v>
      </c>
      <c r="Y5" s="21">
        <v>0.34399999999999997</v>
      </c>
      <c r="Z5" s="21">
        <v>0.34399999999999997</v>
      </c>
      <c r="AA5" s="5"/>
      <c r="AB5" s="21">
        <v>0.17899999999999999</v>
      </c>
      <c r="AC5" s="22" t="s">
        <v>61</v>
      </c>
      <c r="AD5" s="5"/>
      <c r="AE5" s="21">
        <v>0.17899999999999999</v>
      </c>
      <c r="AF5" s="21">
        <v>0.17899999999999999</v>
      </c>
      <c r="AG5" s="21">
        <v>0.17899999999999999</v>
      </c>
      <c r="AH5" s="21">
        <v>0.17899999999999999</v>
      </c>
      <c r="AI5" s="21">
        <v>0.17899999999999999</v>
      </c>
      <c r="AJ5" s="21">
        <v>0.17899999999999999</v>
      </c>
      <c r="AK5" s="21">
        <v>0.17899999999999999</v>
      </c>
      <c r="AL5" s="21">
        <v>0.17899999999999999</v>
      </c>
      <c r="AN5" s="21">
        <v>0.17899999999999999</v>
      </c>
      <c r="AO5" s="21">
        <v>0.17899999999999999</v>
      </c>
      <c r="AMN5" s="1"/>
    </row>
    <row r="6" spans="1:1028" ht="18.95" customHeight="1" thickBot="1">
      <c r="A6" s="6" t="s">
        <v>63</v>
      </c>
      <c r="B6" s="12"/>
      <c r="C6" s="82">
        <v>2</v>
      </c>
      <c r="D6" s="82"/>
      <c r="E6" s="84">
        <v>2</v>
      </c>
      <c r="F6" s="14"/>
      <c r="G6" s="14">
        <v>2</v>
      </c>
      <c r="H6" s="5"/>
      <c r="I6" s="13">
        <v>2</v>
      </c>
      <c r="J6" s="5"/>
      <c r="K6" s="14">
        <v>2</v>
      </c>
      <c r="L6" s="13">
        <v>3</v>
      </c>
      <c r="M6" s="13">
        <v>2</v>
      </c>
      <c r="N6" s="13">
        <v>2</v>
      </c>
      <c r="O6" s="13">
        <v>2</v>
      </c>
      <c r="P6" s="13">
        <v>2</v>
      </c>
      <c r="Q6" s="13">
        <v>2</v>
      </c>
      <c r="R6" s="13">
        <v>2</v>
      </c>
      <c r="S6" s="13">
        <v>2</v>
      </c>
      <c r="T6" s="16">
        <v>2</v>
      </c>
      <c r="U6" s="13">
        <v>2</v>
      </c>
      <c r="V6" s="13">
        <v>2</v>
      </c>
      <c r="W6" s="13">
        <v>2</v>
      </c>
      <c r="X6" s="13">
        <v>2</v>
      </c>
      <c r="Y6" s="13">
        <v>2</v>
      </c>
      <c r="Z6" s="13">
        <v>2</v>
      </c>
      <c r="AA6" s="5"/>
      <c r="AB6" s="13">
        <v>2</v>
      </c>
      <c r="AC6" s="23"/>
      <c r="AD6" s="5"/>
      <c r="AE6" s="13">
        <v>1</v>
      </c>
      <c r="AF6" s="13">
        <v>1</v>
      </c>
      <c r="AG6" s="13">
        <v>2</v>
      </c>
      <c r="AH6" s="13">
        <v>2</v>
      </c>
      <c r="AI6" s="13">
        <v>2</v>
      </c>
      <c r="AJ6" s="13">
        <v>2</v>
      </c>
      <c r="AK6" s="13">
        <v>2</v>
      </c>
      <c r="AL6" s="13">
        <v>2</v>
      </c>
      <c r="AN6" s="13">
        <v>2</v>
      </c>
      <c r="AO6" s="13">
        <v>2</v>
      </c>
      <c r="AMN6" s="1"/>
    </row>
    <row r="7" spans="1:1028" ht="21">
      <c r="A7" s="6" t="s">
        <v>64</v>
      </c>
      <c r="B7" s="12" t="s">
        <v>65</v>
      </c>
      <c r="C7" s="101">
        <v>15</v>
      </c>
      <c r="D7" s="101"/>
      <c r="E7" s="85">
        <v>15</v>
      </c>
      <c r="F7" s="24"/>
      <c r="G7" s="24">
        <v>10</v>
      </c>
      <c r="H7" s="17" t="s">
        <v>56</v>
      </c>
      <c r="I7" s="25">
        <v>10</v>
      </c>
      <c r="J7" s="5"/>
      <c r="K7" s="24">
        <v>25</v>
      </c>
      <c r="L7" s="25">
        <v>20</v>
      </c>
      <c r="M7" s="25">
        <v>10</v>
      </c>
      <c r="N7" s="25">
        <v>10</v>
      </c>
      <c r="O7" s="25">
        <v>30</v>
      </c>
      <c r="P7" s="25">
        <v>10</v>
      </c>
      <c r="Q7" s="25">
        <v>20</v>
      </c>
      <c r="R7" s="25">
        <v>15</v>
      </c>
      <c r="S7" s="25">
        <v>20</v>
      </c>
      <c r="T7" s="26">
        <v>20</v>
      </c>
      <c r="U7" s="25">
        <v>20</v>
      </c>
      <c r="V7" s="25">
        <v>10</v>
      </c>
      <c r="W7" s="25">
        <v>15</v>
      </c>
      <c r="X7" s="25">
        <v>10</v>
      </c>
      <c r="Y7" s="25">
        <v>10</v>
      </c>
      <c r="Z7" s="25">
        <v>10</v>
      </c>
      <c r="AA7" s="5"/>
      <c r="AB7" s="25">
        <v>10</v>
      </c>
      <c r="AC7" s="23"/>
      <c r="AD7" s="5"/>
      <c r="AE7" s="25">
        <v>80</v>
      </c>
      <c r="AF7" s="25">
        <v>75</v>
      </c>
      <c r="AG7" s="25">
        <v>85</v>
      </c>
      <c r="AH7" s="25">
        <v>75</v>
      </c>
      <c r="AI7" s="25">
        <v>75</v>
      </c>
      <c r="AJ7" s="25">
        <v>75</v>
      </c>
      <c r="AK7" s="25">
        <v>75</v>
      </c>
      <c r="AL7" s="25">
        <v>75</v>
      </c>
      <c r="AN7" s="25">
        <v>25</v>
      </c>
      <c r="AO7" s="25">
        <v>20</v>
      </c>
      <c r="AMN7" s="1"/>
    </row>
    <row r="8" spans="1:1028" ht="21">
      <c r="A8" s="6" t="s">
        <v>66</v>
      </c>
      <c r="B8" s="12" t="s">
        <v>65</v>
      </c>
      <c r="C8" s="82">
        <v>99</v>
      </c>
      <c r="D8" s="82"/>
      <c r="E8" s="84">
        <v>100</v>
      </c>
      <c r="F8" s="14"/>
      <c r="G8" s="14">
        <v>100</v>
      </c>
      <c r="H8" s="18" t="s">
        <v>58</v>
      </c>
      <c r="I8" s="13">
        <v>98</v>
      </c>
      <c r="J8" s="5"/>
      <c r="K8" s="14">
        <v>98</v>
      </c>
      <c r="L8" s="13">
        <v>99</v>
      </c>
      <c r="M8" s="13">
        <v>95</v>
      </c>
      <c r="N8" s="13">
        <v>100</v>
      </c>
      <c r="O8" s="13">
        <v>98</v>
      </c>
      <c r="P8" s="13">
        <v>99</v>
      </c>
      <c r="Q8" s="13">
        <v>99</v>
      </c>
      <c r="R8" s="13">
        <v>99</v>
      </c>
      <c r="S8" s="13">
        <v>99</v>
      </c>
      <c r="T8" s="16">
        <v>95</v>
      </c>
      <c r="U8" s="13">
        <v>99</v>
      </c>
      <c r="V8" s="13">
        <v>95</v>
      </c>
      <c r="W8" s="13">
        <v>99</v>
      </c>
      <c r="X8" s="13">
        <v>99</v>
      </c>
      <c r="Y8" s="13">
        <v>99</v>
      </c>
      <c r="Z8" s="13">
        <v>99</v>
      </c>
      <c r="AA8" s="5"/>
      <c r="AB8" s="13">
        <v>99</v>
      </c>
      <c r="AC8" s="23"/>
      <c r="AD8" s="5"/>
      <c r="AE8" s="13">
        <v>99</v>
      </c>
      <c r="AF8" s="13">
        <v>99</v>
      </c>
      <c r="AG8" s="13">
        <v>99</v>
      </c>
      <c r="AH8" s="13">
        <v>100</v>
      </c>
      <c r="AI8" s="13">
        <v>100</v>
      </c>
      <c r="AJ8" s="13">
        <v>100</v>
      </c>
      <c r="AK8" s="13">
        <v>100</v>
      </c>
      <c r="AL8" s="13">
        <v>100</v>
      </c>
      <c r="AN8" s="13">
        <v>100</v>
      </c>
      <c r="AO8" s="13">
        <v>100</v>
      </c>
      <c r="AMN8" s="1"/>
    </row>
    <row r="9" spans="1:1028" ht="54">
      <c r="A9" s="6" t="s">
        <v>67</v>
      </c>
      <c r="B9" s="27"/>
      <c r="C9" s="82">
        <v>0</v>
      </c>
      <c r="D9" s="82"/>
      <c r="E9" s="84">
        <v>1</v>
      </c>
      <c r="F9" s="14"/>
      <c r="G9" s="14">
        <v>0</v>
      </c>
      <c r="H9" s="22" t="s">
        <v>61</v>
      </c>
      <c r="I9" s="13">
        <v>50</v>
      </c>
      <c r="J9" s="5"/>
      <c r="K9" s="14">
        <v>6</v>
      </c>
      <c r="L9" s="13">
        <v>10</v>
      </c>
      <c r="M9" s="13">
        <v>10</v>
      </c>
      <c r="N9" s="13">
        <v>12</v>
      </c>
      <c r="O9" s="13">
        <v>16</v>
      </c>
      <c r="P9" s="13">
        <v>10</v>
      </c>
      <c r="Q9" s="13">
        <v>7</v>
      </c>
      <c r="R9" s="13">
        <v>10</v>
      </c>
      <c r="S9" s="13">
        <v>10</v>
      </c>
      <c r="T9" s="16">
        <v>16</v>
      </c>
      <c r="U9" s="13">
        <v>10</v>
      </c>
      <c r="V9" s="13">
        <v>10</v>
      </c>
      <c r="W9" s="13">
        <v>10</v>
      </c>
      <c r="X9" s="13">
        <v>10</v>
      </c>
      <c r="Y9" s="13">
        <v>10</v>
      </c>
      <c r="Z9" s="13">
        <v>10</v>
      </c>
      <c r="AA9" s="5"/>
      <c r="AB9" s="13">
        <v>10</v>
      </c>
      <c r="AC9" s="23"/>
      <c r="AD9" s="5"/>
      <c r="AE9" s="13">
        <v>10</v>
      </c>
      <c r="AF9" s="13">
        <v>10</v>
      </c>
      <c r="AG9" s="13">
        <v>10</v>
      </c>
      <c r="AH9" s="13">
        <v>10</v>
      </c>
      <c r="AI9" s="13">
        <v>10</v>
      </c>
      <c r="AJ9" s="13">
        <v>10</v>
      </c>
      <c r="AK9" s="13">
        <v>10</v>
      </c>
      <c r="AL9" s="13">
        <v>10</v>
      </c>
      <c r="AN9" s="13">
        <v>10</v>
      </c>
      <c r="AO9" s="13">
        <v>10</v>
      </c>
      <c r="AMN9" s="1"/>
    </row>
    <row r="10" spans="1:1028" ht="31.5" customHeight="1">
      <c r="A10" s="6" t="s">
        <v>68</v>
      </c>
      <c r="B10" s="28"/>
      <c r="C10" s="82">
        <v>200000000</v>
      </c>
      <c r="D10" s="82"/>
      <c r="E10" s="84">
        <v>150</v>
      </c>
      <c r="F10" s="14"/>
      <c r="G10" s="14">
        <v>2000000</v>
      </c>
      <c r="H10" s="14" t="s">
        <v>60</v>
      </c>
      <c r="I10" s="29">
        <v>50000</v>
      </c>
      <c r="J10" s="5"/>
      <c r="K10" s="14">
        <v>500</v>
      </c>
      <c r="L10" s="13">
        <v>200</v>
      </c>
      <c r="M10" s="13">
        <v>200</v>
      </c>
      <c r="N10" s="13">
        <v>200</v>
      </c>
      <c r="O10" s="13">
        <v>500</v>
      </c>
      <c r="P10" s="13">
        <v>100</v>
      </c>
      <c r="Q10" s="13">
        <v>200</v>
      </c>
      <c r="R10" s="13">
        <v>200</v>
      </c>
      <c r="S10" s="13">
        <v>200</v>
      </c>
      <c r="T10" s="16">
        <v>500</v>
      </c>
      <c r="U10" s="13">
        <v>200</v>
      </c>
      <c r="V10" s="13">
        <v>200</v>
      </c>
      <c r="W10" s="13">
        <v>200</v>
      </c>
      <c r="X10" s="13">
        <v>200</v>
      </c>
      <c r="Y10" s="13">
        <v>200</v>
      </c>
      <c r="Z10" s="13">
        <v>200</v>
      </c>
      <c r="AA10" s="5"/>
      <c r="AB10" s="13">
        <v>200</v>
      </c>
      <c r="AC10" s="23"/>
      <c r="AD10" s="5"/>
      <c r="AE10" s="13">
        <v>200</v>
      </c>
      <c r="AF10" s="13">
        <v>200</v>
      </c>
      <c r="AG10" s="13">
        <v>200</v>
      </c>
      <c r="AH10" s="13">
        <v>200</v>
      </c>
      <c r="AI10" s="13">
        <v>200</v>
      </c>
      <c r="AJ10" s="13">
        <v>200</v>
      </c>
      <c r="AK10" s="13">
        <v>200</v>
      </c>
      <c r="AL10" s="13">
        <v>200</v>
      </c>
      <c r="AN10" s="13">
        <v>200</v>
      </c>
      <c r="AO10" s="13">
        <v>200</v>
      </c>
      <c r="AMN10" s="1"/>
    </row>
    <row r="11" spans="1:1028" ht="21">
      <c r="A11" s="6" t="s">
        <v>69</v>
      </c>
      <c r="B11" s="12" t="s">
        <v>65</v>
      </c>
      <c r="C11" s="82">
        <v>8</v>
      </c>
      <c r="D11" s="82"/>
      <c r="E11" s="84">
        <v>10</v>
      </c>
      <c r="F11" s="14"/>
      <c r="G11" s="14">
        <v>10</v>
      </c>
      <c r="H11" s="17" t="s">
        <v>59</v>
      </c>
      <c r="I11" s="13">
        <v>50</v>
      </c>
      <c r="J11" s="5"/>
      <c r="K11" s="14">
        <v>15</v>
      </c>
      <c r="L11" s="13">
        <v>7</v>
      </c>
      <c r="M11" s="13">
        <v>10</v>
      </c>
      <c r="N11" s="13">
        <v>6</v>
      </c>
      <c r="O11" s="13">
        <v>6</v>
      </c>
      <c r="P11" s="13">
        <v>6</v>
      </c>
      <c r="Q11" s="13">
        <v>8</v>
      </c>
      <c r="R11" s="13">
        <v>5</v>
      </c>
      <c r="S11" s="13">
        <v>5</v>
      </c>
      <c r="T11" s="16">
        <v>10</v>
      </c>
      <c r="U11" s="13">
        <v>5</v>
      </c>
      <c r="V11" s="13">
        <v>10</v>
      </c>
      <c r="W11" s="13">
        <v>8</v>
      </c>
      <c r="X11" s="13">
        <v>4</v>
      </c>
      <c r="Y11" s="13">
        <v>4</v>
      </c>
      <c r="Z11" s="13">
        <v>4</v>
      </c>
      <c r="AA11" s="5"/>
      <c r="AB11" s="13">
        <v>5</v>
      </c>
      <c r="AC11" s="23"/>
      <c r="AD11" s="5"/>
      <c r="AE11" s="13">
        <v>10</v>
      </c>
      <c r="AF11" s="13">
        <v>10</v>
      </c>
      <c r="AG11" s="13">
        <v>10</v>
      </c>
      <c r="AH11" s="13">
        <v>7</v>
      </c>
      <c r="AI11" s="13">
        <v>7</v>
      </c>
      <c r="AJ11" s="13">
        <v>7</v>
      </c>
      <c r="AK11" s="13">
        <v>7</v>
      </c>
      <c r="AL11" s="13">
        <v>7</v>
      </c>
      <c r="AN11" s="13">
        <v>8</v>
      </c>
      <c r="AO11" s="13">
        <v>5</v>
      </c>
      <c r="AMN11" s="1"/>
    </row>
    <row r="12" spans="1:1028" ht="21.75" thickBot="1">
      <c r="A12" s="6" t="s">
        <v>70</v>
      </c>
      <c r="B12" s="12"/>
      <c r="C12" s="102">
        <v>100</v>
      </c>
      <c r="D12" s="102"/>
      <c r="E12" s="86">
        <v>100</v>
      </c>
      <c r="F12" s="30"/>
      <c r="G12" s="30">
        <v>50</v>
      </c>
      <c r="H12" s="23"/>
      <c r="I12" s="31">
        <v>50000</v>
      </c>
      <c r="J12" s="5"/>
      <c r="K12" s="30">
        <v>300</v>
      </c>
      <c r="L12" s="32">
        <v>100</v>
      </c>
      <c r="M12" s="32">
        <v>80</v>
      </c>
      <c r="N12" s="32">
        <v>100</v>
      </c>
      <c r="O12" s="32">
        <v>60</v>
      </c>
      <c r="P12" s="32">
        <v>50</v>
      </c>
      <c r="Q12" s="32">
        <v>80</v>
      </c>
      <c r="R12" s="32">
        <v>122</v>
      </c>
      <c r="S12" s="32">
        <v>80</v>
      </c>
      <c r="T12" s="33">
        <v>200</v>
      </c>
      <c r="U12" s="32">
        <v>80</v>
      </c>
      <c r="V12" s="32">
        <v>80</v>
      </c>
      <c r="W12" s="32">
        <v>100</v>
      </c>
      <c r="X12" s="32">
        <v>100</v>
      </c>
      <c r="Y12" s="32">
        <v>60</v>
      </c>
      <c r="Z12" s="32">
        <v>60</v>
      </c>
      <c r="AA12" s="5"/>
      <c r="AB12" s="32">
        <v>100</v>
      </c>
      <c r="AC12" s="23"/>
      <c r="AD12" s="5"/>
      <c r="AE12" s="32">
        <v>100</v>
      </c>
      <c r="AF12" s="32">
        <v>100</v>
      </c>
      <c r="AG12" s="32">
        <v>100</v>
      </c>
      <c r="AH12" s="32">
        <v>100</v>
      </c>
      <c r="AI12" s="32">
        <v>100</v>
      </c>
      <c r="AJ12" s="32">
        <v>100</v>
      </c>
      <c r="AK12" s="32">
        <v>100</v>
      </c>
      <c r="AL12" s="32">
        <v>100</v>
      </c>
      <c r="AN12" s="32">
        <v>200</v>
      </c>
      <c r="AO12" s="32">
        <v>60</v>
      </c>
      <c r="AMN12" s="1"/>
    </row>
    <row r="13" spans="1:1028" ht="21">
      <c r="A13" s="6" t="s">
        <v>71</v>
      </c>
      <c r="B13" s="12"/>
      <c r="C13" s="82">
        <v>25</v>
      </c>
      <c r="D13" s="82"/>
      <c r="E13" s="84">
        <v>20</v>
      </c>
      <c r="F13" s="14"/>
      <c r="G13" s="14">
        <v>12</v>
      </c>
      <c r="H13" s="34">
        <f>1.01^52</f>
        <v>1.6776889214629449</v>
      </c>
      <c r="I13" s="29">
        <v>12000</v>
      </c>
      <c r="J13" s="5"/>
      <c r="K13" s="14">
        <v>8</v>
      </c>
      <c r="L13" s="13">
        <v>10</v>
      </c>
      <c r="M13" s="13">
        <v>20</v>
      </c>
      <c r="N13" s="13">
        <v>10</v>
      </c>
      <c r="O13" s="13">
        <v>21</v>
      </c>
      <c r="P13" s="13">
        <v>8</v>
      </c>
      <c r="Q13" s="13">
        <v>8</v>
      </c>
      <c r="R13" s="13">
        <v>22</v>
      </c>
      <c r="S13" s="13">
        <v>13</v>
      </c>
      <c r="T13" s="16">
        <v>50</v>
      </c>
      <c r="U13" s="13">
        <v>25</v>
      </c>
      <c r="V13" s="13">
        <v>20</v>
      </c>
      <c r="W13" s="13">
        <v>25</v>
      </c>
      <c r="X13" s="13">
        <v>10</v>
      </c>
      <c r="Y13" s="13">
        <v>7</v>
      </c>
      <c r="Z13" s="13">
        <v>12</v>
      </c>
      <c r="AA13" s="5"/>
      <c r="AB13" s="13">
        <v>35</v>
      </c>
      <c r="AC13" s="23"/>
      <c r="AD13" s="5"/>
      <c r="AE13" s="13">
        <v>1</v>
      </c>
      <c r="AF13" s="13">
        <v>1</v>
      </c>
      <c r="AG13" s="13">
        <v>4</v>
      </c>
      <c r="AH13" s="13">
        <v>4</v>
      </c>
      <c r="AI13" s="13">
        <v>4</v>
      </c>
      <c r="AJ13" s="13">
        <v>4</v>
      </c>
      <c r="AK13" s="13">
        <v>4</v>
      </c>
      <c r="AL13" s="13">
        <v>4</v>
      </c>
      <c r="AN13" s="13">
        <v>0</v>
      </c>
      <c r="AO13" s="13">
        <v>10</v>
      </c>
      <c r="AMN13" s="1"/>
    </row>
    <row r="14" spans="1:1028" ht="21.75" thickBot="1">
      <c r="A14" s="6" t="s">
        <v>72</v>
      </c>
      <c r="B14" s="12"/>
      <c r="C14" s="82">
        <v>40</v>
      </c>
      <c r="D14" s="82"/>
      <c r="E14" s="84">
        <v>80</v>
      </c>
      <c r="F14" s="14"/>
      <c r="G14" s="14">
        <v>60</v>
      </c>
      <c r="H14" s="23"/>
      <c r="I14" s="13">
        <v>60</v>
      </c>
      <c r="J14" s="5"/>
      <c r="K14" s="14">
        <v>40</v>
      </c>
      <c r="L14" s="13">
        <v>100</v>
      </c>
      <c r="M14" s="13">
        <v>100</v>
      </c>
      <c r="N14" s="13">
        <v>90</v>
      </c>
      <c r="O14" s="13">
        <v>0</v>
      </c>
      <c r="P14" s="13">
        <v>0</v>
      </c>
      <c r="Q14" s="13">
        <v>100</v>
      </c>
      <c r="R14" s="13">
        <v>30</v>
      </c>
      <c r="S14" s="13">
        <v>100</v>
      </c>
      <c r="T14" s="16">
        <v>0</v>
      </c>
      <c r="U14" s="13">
        <v>70</v>
      </c>
      <c r="V14" s="13">
        <v>100</v>
      </c>
      <c r="W14" s="13">
        <v>40</v>
      </c>
      <c r="X14" s="13">
        <v>80</v>
      </c>
      <c r="Y14" s="13">
        <v>40</v>
      </c>
      <c r="Z14" s="13">
        <v>40</v>
      </c>
      <c r="AA14" s="5"/>
      <c r="AB14" s="13">
        <v>0</v>
      </c>
      <c r="AC14" s="23"/>
      <c r="AD14" s="5"/>
      <c r="AE14" s="13">
        <v>100</v>
      </c>
      <c r="AF14" s="13">
        <v>100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N14" s="13">
        <v>0</v>
      </c>
      <c r="AO14" s="13">
        <v>100</v>
      </c>
      <c r="AMN14" s="1"/>
    </row>
    <row r="15" spans="1:1028" ht="21">
      <c r="A15" s="35" t="s">
        <v>73</v>
      </c>
      <c r="B15" s="36"/>
      <c r="C15" s="101">
        <v>0</v>
      </c>
      <c r="D15" s="101"/>
      <c r="E15" s="85">
        <v>5</v>
      </c>
      <c r="F15" s="24"/>
      <c r="G15" s="24">
        <v>0</v>
      </c>
      <c r="H15" s="23"/>
      <c r="I15" s="24">
        <v>0</v>
      </c>
      <c r="J15" s="5"/>
      <c r="K15" s="24">
        <v>20</v>
      </c>
      <c r="L15" s="25">
        <v>20</v>
      </c>
      <c r="M15" s="25">
        <v>0</v>
      </c>
      <c r="N15" s="25">
        <v>0</v>
      </c>
      <c r="O15" s="25">
        <v>0</v>
      </c>
      <c r="P15" s="25">
        <v>5</v>
      </c>
      <c r="Q15" s="25">
        <v>5</v>
      </c>
      <c r="R15" s="25">
        <v>8</v>
      </c>
      <c r="S15" s="25">
        <v>0</v>
      </c>
      <c r="T15" s="26">
        <v>0</v>
      </c>
      <c r="U15" s="25">
        <v>0</v>
      </c>
      <c r="V15" s="25">
        <v>0</v>
      </c>
      <c r="W15" s="25">
        <v>0</v>
      </c>
      <c r="X15" s="25">
        <v>10</v>
      </c>
      <c r="Y15" s="25">
        <v>8</v>
      </c>
      <c r="Z15" s="25">
        <v>0</v>
      </c>
      <c r="AA15" s="5"/>
      <c r="AB15" s="25">
        <v>5</v>
      </c>
      <c r="AC15" s="23"/>
      <c r="AD15" s="5"/>
      <c r="AE15" s="25">
        <v>10</v>
      </c>
      <c r="AF15" s="25">
        <v>10</v>
      </c>
      <c r="AG15" s="25">
        <v>10</v>
      </c>
      <c r="AH15" s="37">
        <v>10</v>
      </c>
      <c r="AI15" s="25">
        <v>0</v>
      </c>
      <c r="AJ15" s="37">
        <v>8</v>
      </c>
      <c r="AK15" s="37">
        <v>8</v>
      </c>
      <c r="AL15" s="37">
        <v>8</v>
      </c>
      <c r="AN15" s="24">
        <v>0</v>
      </c>
      <c r="AO15" s="24">
        <v>0</v>
      </c>
      <c r="AMN15" s="1"/>
    </row>
    <row r="16" spans="1:1028" ht="21">
      <c r="A16" s="35" t="s">
        <v>74</v>
      </c>
      <c r="B16" s="36"/>
      <c r="C16" s="82">
        <v>60</v>
      </c>
      <c r="D16" s="82"/>
      <c r="E16" s="84">
        <v>40</v>
      </c>
      <c r="F16" s="14"/>
      <c r="G16" s="14">
        <v>55</v>
      </c>
      <c r="H16" s="23"/>
      <c r="I16" s="13">
        <v>40</v>
      </c>
      <c r="J16" s="5"/>
      <c r="K16" s="14">
        <v>20</v>
      </c>
      <c r="L16" s="13">
        <v>70</v>
      </c>
      <c r="M16" s="13">
        <v>60</v>
      </c>
      <c r="N16" s="13">
        <v>60</v>
      </c>
      <c r="O16" s="13">
        <v>50</v>
      </c>
      <c r="P16" s="13">
        <v>45</v>
      </c>
      <c r="Q16" s="13">
        <v>50</v>
      </c>
      <c r="R16" s="13">
        <v>50</v>
      </c>
      <c r="S16" s="13">
        <v>50</v>
      </c>
      <c r="T16" s="16">
        <v>70</v>
      </c>
      <c r="U16" s="13">
        <v>50</v>
      </c>
      <c r="V16" s="13">
        <v>60</v>
      </c>
      <c r="W16" s="13">
        <v>60</v>
      </c>
      <c r="X16" s="13">
        <v>10</v>
      </c>
      <c r="Y16" s="13">
        <v>20</v>
      </c>
      <c r="Z16" s="13">
        <v>40</v>
      </c>
      <c r="AA16" s="5"/>
      <c r="AB16" s="13">
        <v>50</v>
      </c>
      <c r="AC16" s="23"/>
      <c r="AD16" s="5"/>
      <c r="AE16" s="13">
        <v>0</v>
      </c>
      <c r="AF16" s="13">
        <v>0</v>
      </c>
      <c r="AG16" s="13">
        <v>0</v>
      </c>
      <c r="AH16" s="13">
        <v>0</v>
      </c>
      <c r="AI16" s="38">
        <v>10</v>
      </c>
      <c r="AJ16" s="38">
        <v>15</v>
      </c>
      <c r="AK16" s="38">
        <v>15</v>
      </c>
      <c r="AL16" s="38">
        <v>15</v>
      </c>
      <c r="AN16" s="13">
        <v>40</v>
      </c>
      <c r="AO16" s="13">
        <v>40</v>
      </c>
      <c r="AMN16" s="1"/>
    </row>
    <row r="17" spans="1:41 1028:1028" ht="21">
      <c r="A17" s="35" t="s">
        <v>75</v>
      </c>
      <c r="B17" s="36"/>
      <c r="C17" s="82">
        <v>0</v>
      </c>
      <c r="D17" s="82"/>
      <c r="E17" s="84">
        <v>0</v>
      </c>
      <c r="F17" s="14"/>
      <c r="G17" s="14">
        <v>0</v>
      </c>
      <c r="H17" s="23"/>
      <c r="I17" s="13">
        <v>0</v>
      </c>
      <c r="J17" s="5"/>
      <c r="K17" s="14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6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5"/>
      <c r="AB17" s="13">
        <v>0</v>
      </c>
      <c r="AC17" s="23"/>
      <c r="AD17" s="5"/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N17" s="13">
        <v>0</v>
      </c>
      <c r="AO17" s="13">
        <v>0</v>
      </c>
      <c r="AMN17" s="1"/>
    </row>
    <row r="18" spans="1:41 1028:1028" ht="21">
      <c r="A18" s="39" t="s">
        <v>76</v>
      </c>
      <c r="B18" s="40"/>
      <c r="C18" s="82">
        <v>0</v>
      </c>
      <c r="D18" s="82"/>
      <c r="E18" s="84">
        <v>0</v>
      </c>
      <c r="F18" s="14"/>
      <c r="G18" s="14">
        <v>0</v>
      </c>
      <c r="H18" s="23"/>
      <c r="I18" s="13">
        <v>0</v>
      </c>
      <c r="J18" s="5"/>
      <c r="K18" s="14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6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5"/>
      <c r="AB18" s="13">
        <v>0</v>
      </c>
      <c r="AC18" s="23"/>
      <c r="AD18" s="5"/>
      <c r="AE18" s="13">
        <v>20</v>
      </c>
      <c r="AF18" s="13">
        <v>20</v>
      </c>
      <c r="AG18" s="13">
        <v>0</v>
      </c>
      <c r="AH18" s="13">
        <v>0</v>
      </c>
      <c r="AI18" s="13">
        <v>0</v>
      </c>
      <c r="AJ18" s="13">
        <v>0</v>
      </c>
      <c r="AK18" s="41">
        <v>50</v>
      </c>
      <c r="AL18" s="41">
        <v>100</v>
      </c>
      <c r="AN18" s="13">
        <v>0</v>
      </c>
      <c r="AO18" s="13">
        <v>0</v>
      </c>
      <c r="AMN18" s="1"/>
    </row>
    <row r="19" spans="1:41 1028:1028" ht="21">
      <c r="A19" s="39" t="s">
        <v>77</v>
      </c>
      <c r="B19" s="40"/>
      <c r="C19" s="82">
        <v>700</v>
      </c>
      <c r="D19" s="82"/>
      <c r="E19" s="84">
        <v>800</v>
      </c>
      <c r="F19" s="14"/>
      <c r="G19" s="14">
        <v>800</v>
      </c>
      <c r="H19" s="23"/>
      <c r="I19" s="13">
        <v>800</v>
      </c>
      <c r="J19" s="5"/>
      <c r="K19" s="14">
        <v>800</v>
      </c>
      <c r="L19" s="13">
        <v>800</v>
      </c>
      <c r="M19" s="13">
        <v>800</v>
      </c>
      <c r="N19" s="13">
        <v>800</v>
      </c>
      <c r="O19" s="13">
        <v>600</v>
      </c>
      <c r="P19" s="13">
        <v>800</v>
      </c>
      <c r="Q19" s="13">
        <v>800</v>
      </c>
      <c r="R19" s="13">
        <v>800</v>
      </c>
      <c r="S19" s="13">
        <v>800</v>
      </c>
      <c r="T19" s="16">
        <v>800</v>
      </c>
      <c r="U19" s="13">
        <v>800</v>
      </c>
      <c r="V19" s="13">
        <v>800</v>
      </c>
      <c r="W19" s="13">
        <v>700</v>
      </c>
      <c r="X19" s="13">
        <v>800</v>
      </c>
      <c r="Y19" s="13">
        <v>700</v>
      </c>
      <c r="Z19" s="13">
        <v>800</v>
      </c>
      <c r="AA19" s="5"/>
      <c r="AB19" s="13">
        <v>800</v>
      </c>
      <c r="AC19" s="23"/>
      <c r="AD19" s="5"/>
      <c r="AE19" s="13">
        <v>0</v>
      </c>
      <c r="AF19" s="13">
        <v>0</v>
      </c>
      <c r="AG19" s="13">
        <v>800</v>
      </c>
      <c r="AH19" s="13">
        <v>800</v>
      </c>
      <c r="AI19" s="13">
        <v>800</v>
      </c>
      <c r="AJ19" s="13">
        <v>800</v>
      </c>
      <c r="AK19" s="13">
        <v>0</v>
      </c>
      <c r="AL19" s="13">
        <v>0</v>
      </c>
      <c r="AN19" s="13">
        <v>800</v>
      </c>
      <c r="AO19" s="13">
        <v>800</v>
      </c>
      <c r="AMN19" s="1"/>
    </row>
    <row r="20" spans="1:41 1028:1028" ht="21.75" thickBot="1">
      <c r="A20" s="39" t="s">
        <v>78</v>
      </c>
      <c r="B20" s="40"/>
      <c r="C20" s="102">
        <v>0</v>
      </c>
      <c r="D20" s="102"/>
      <c r="E20" s="86">
        <v>0</v>
      </c>
      <c r="F20" s="30"/>
      <c r="G20" s="30">
        <v>0</v>
      </c>
      <c r="H20" s="23"/>
      <c r="I20" s="32">
        <v>0</v>
      </c>
      <c r="J20" s="5"/>
      <c r="K20" s="30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3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5"/>
      <c r="AB20" s="32">
        <v>0</v>
      </c>
      <c r="AC20" s="23"/>
      <c r="AD20" s="5"/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N20" s="32">
        <v>0</v>
      </c>
      <c r="AO20" s="32">
        <v>0</v>
      </c>
      <c r="AMN20" s="1"/>
    </row>
    <row r="21" spans="1:41 1028:1028" ht="21">
      <c r="A21" s="6" t="s">
        <v>79</v>
      </c>
      <c r="B21" s="12"/>
      <c r="C21" s="82">
        <v>5</v>
      </c>
      <c r="D21" s="82"/>
      <c r="E21" s="84">
        <v>4</v>
      </c>
      <c r="F21" s="14"/>
      <c r="G21" s="14">
        <v>2</v>
      </c>
      <c r="H21" s="23"/>
      <c r="I21" s="13">
        <v>3</v>
      </c>
      <c r="J21" s="5"/>
      <c r="K21" s="14">
        <v>3</v>
      </c>
      <c r="L21" s="13">
        <v>5</v>
      </c>
      <c r="M21" s="13">
        <v>5</v>
      </c>
      <c r="N21" s="13">
        <v>4</v>
      </c>
      <c r="O21" s="13">
        <v>5</v>
      </c>
      <c r="P21" s="13">
        <v>5</v>
      </c>
      <c r="Q21" s="13">
        <v>7</v>
      </c>
      <c r="R21" s="13">
        <v>3</v>
      </c>
      <c r="S21" s="13">
        <v>3</v>
      </c>
      <c r="T21" s="16">
        <v>20</v>
      </c>
      <c r="U21" s="13">
        <v>3</v>
      </c>
      <c r="V21" s="13">
        <v>5</v>
      </c>
      <c r="W21" s="13">
        <v>5</v>
      </c>
      <c r="X21" s="13">
        <v>3</v>
      </c>
      <c r="Y21" s="13">
        <v>3</v>
      </c>
      <c r="Z21" s="13">
        <v>3</v>
      </c>
      <c r="AA21" s="5"/>
      <c r="AB21" s="13">
        <v>3</v>
      </c>
      <c r="AC21" s="23"/>
      <c r="AD21" s="5"/>
      <c r="AE21" s="13">
        <v>3</v>
      </c>
      <c r="AF21" s="13">
        <v>3</v>
      </c>
      <c r="AG21" s="13">
        <v>3</v>
      </c>
      <c r="AH21" s="13">
        <v>3</v>
      </c>
      <c r="AI21" s="13">
        <v>3</v>
      </c>
      <c r="AJ21" s="13">
        <v>3</v>
      </c>
      <c r="AK21" s="13">
        <v>3</v>
      </c>
      <c r="AL21" s="13">
        <v>3</v>
      </c>
      <c r="AN21" s="13">
        <v>3</v>
      </c>
      <c r="AO21" s="13">
        <v>3</v>
      </c>
      <c r="AMN21" s="1"/>
    </row>
    <row r="22" spans="1:41 1028:1028" ht="21">
      <c r="A22" s="6" t="s">
        <v>80</v>
      </c>
      <c r="B22" s="12"/>
      <c r="C22" s="82">
        <v>200</v>
      </c>
      <c r="D22" s="82"/>
      <c r="E22" s="84">
        <v>300</v>
      </c>
      <c r="F22" s="14"/>
      <c r="G22" s="14">
        <v>50</v>
      </c>
      <c r="H22" s="23"/>
      <c r="I22" s="29">
        <v>50000</v>
      </c>
      <c r="J22" s="5"/>
      <c r="K22" s="14">
        <v>100</v>
      </c>
      <c r="L22" s="13">
        <v>200</v>
      </c>
      <c r="M22" s="13">
        <v>200</v>
      </c>
      <c r="N22" s="13">
        <v>80</v>
      </c>
      <c r="O22" s="13">
        <v>200</v>
      </c>
      <c r="P22" s="13">
        <v>200</v>
      </c>
      <c r="Q22" s="13">
        <v>120</v>
      </c>
      <c r="R22" s="13">
        <v>200</v>
      </c>
      <c r="S22" s="13">
        <v>200</v>
      </c>
      <c r="T22" s="16">
        <v>200</v>
      </c>
      <c r="U22" s="13">
        <v>200</v>
      </c>
      <c r="V22" s="13">
        <v>200</v>
      </c>
      <c r="W22" s="13">
        <v>200</v>
      </c>
      <c r="X22" s="13">
        <v>200</v>
      </c>
      <c r="Y22" s="13">
        <v>200</v>
      </c>
      <c r="Z22" s="13">
        <v>200</v>
      </c>
      <c r="AA22" s="5"/>
      <c r="AB22" s="13">
        <v>200</v>
      </c>
      <c r="AC22" s="23"/>
      <c r="AD22" s="5"/>
      <c r="AE22" s="13">
        <v>200</v>
      </c>
      <c r="AF22" s="13">
        <v>200</v>
      </c>
      <c r="AG22" s="13">
        <v>200</v>
      </c>
      <c r="AH22" s="13">
        <v>200</v>
      </c>
      <c r="AI22" s="13">
        <v>200</v>
      </c>
      <c r="AJ22" s="13">
        <v>200</v>
      </c>
      <c r="AK22" s="13">
        <v>200</v>
      </c>
      <c r="AL22" s="13">
        <v>200</v>
      </c>
      <c r="AN22" s="13">
        <v>200</v>
      </c>
      <c r="AO22" s="13">
        <v>200</v>
      </c>
      <c r="AMN22" s="1"/>
    </row>
    <row r="23" spans="1:41 1028:1028" ht="21">
      <c r="A23" s="6" t="s">
        <v>81</v>
      </c>
      <c r="B23" s="12"/>
      <c r="C23" s="82">
        <v>0</v>
      </c>
      <c r="D23" s="82"/>
      <c r="E23" s="84">
        <v>0</v>
      </c>
      <c r="F23" s="14"/>
      <c r="G23" s="14">
        <v>0</v>
      </c>
      <c r="H23" s="23"/>
      <c r="I23" s="13">
        <v>0</v>
      </c>
      <c r="J23" s="5"/>
      <c r="K23" s="14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6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5"/>
      <c r="AB23" s="13">
        <v>0</v>
      </c>
      <c r="AC23" s="23"/>
      <c r="AD23" s="5"/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N23" s="13">
        <v>0</v>
      </c>
      <c r="AO23" s="13">
        <v>0</v>
      </c>
      <c r="AMN23" s="1"/>
    </row>
    <row r="24" spans="1:41 1028:1028" ht="21">
      <c r="A24" s="6" t="s">
        <v>82</v>
      </c>
      <c r="B24" s="42">
        <v>0.29166666666666702</v>
      </c>
      <c r="C24" s="103">
        <v>0.33333333333333304</v>
      </c>
      <c r="D24" s="103"/>
      <c r="E24" s="87">
        <v>0.29097222222222202</v>
      </c>
      <c r="F24" s="43"/>
      <c r="G24" s="43">
        <v>0.33333333333333298</v>
      </c>
      <c r="H24" s="23"/>
      <c r="I24" s="43">
        <v>0.33333333333333298</v>
      </c>
      <c r="J24" s="5"/>
      <c r="K24" s="43">
        <v>0.33333333333333298</v>
      </c>
      <c r="L24" s="43">
        <v>0.33333333333333298</v>
      </c>
      <c r="M24" s="43">
        <v>0.33333333333333298</v>
      </c>
      <c r="N24" s="44">
        <v>0.29097222222222202</v>
      </c>
      <c r="O24" s="44">
        <v>0.29097222222222202</v>
      </c>
      <c r="P24" s="44">
        <v>0.29097222222222202</v>
      </c>
      <c r="Q24" s="44">
        <v>0.33333333333333298</v>
      </c>
      <c r="R24" s="43">
        <v>0.33333333333333298</v>
      </c>
      <c r="S24" s="43">
        <v>0.33333333333333298</v>
      </c>
      <c r="T24" s="44">
        <v>0.29097222222222202</v>
      </c>
      <c r="U24" s="43">
        <v>0.33333333333333298</v>
      </c>
      <c r="V24" s="44">
        <v>0.29097222222222202</v>
      </c>
      <c r="W24" s="44">
        <v>0.33333333333333298</v>
      </c>
      <c r="X24" s="43">
        <v>0.33333333333333298</v>
      </c>
      <c r="Y24" s="43">
        <v>0.33333333333333298</v>
      </c>
      <c r="Z24" s="43">
        <v>0.33333333333333298</v>
      </c>
      <c r="AA24" s="5"/>
      <c r="AB24" s="43">
        <v>0.33333333333333298</v>
      </c>
      <c r="AC24" s="23"/>
      <c r="AD24" s="5"/>
      <c r="AE24" s="43">
        <v>0.33333333333333298</v>
      </c>
      <c r="AF24" s="43">
        <v>0.33333333333333298</v>
      </c>
      <c r="AG24" s="43">
        <v>0.33333333333333298</v>
      </c>
      <c r="AH24" s="43">
        <v>0.33333333333333298</v>
      </c>
      <c r="AI24" s="43">
        <v>0.33333333333333298</v>
      </c>
      <c r="AJ24" s="43">
        <v>0.33333333333333298</v>
      </c>
      <c r="AK24" s="43">
        <v>0.33333333333333298</v>
      </c>
      <c r="AL24" s="43">
        <v>0.33333333333333298</v>
      </c>
      <c r="AN24" s="43">
        <v>0.25</v>
      </c>
      <c r="AO24" s="43">
        <v>0.33333333333333298</v>
      </c>
      <c r="AMN24" s="1"/>
    </row>
    <row r="25" spans="1:41 1028:1028" ht="21">
      <c r="A25" s="6" t="s">
        <v>83</v>
      </c>
      <c r="B25" s="42">
        <v>0.70833333333333304</v>
      </c>
      <c r="C25" s="103">
        <v>0.83402777777777803</v>
      </c>
      <c r="D25" s="103"/>
      <c r="E25" s="87">
        <v>0.83402777777777803</v>
      </c>
      <c r="F25" s="43"/>
      <c r="G25" s="43">
        <v>0.874305555555556</v>
      </c>
      <c r="H25" s="23"/>
      <c r="I25" s="43">
        <v>0.83402777777777803</v>
      </c>
      <c r="J25" s="5"/>
      <c r="K25" s="43">
        <v>0.83402777777777803</v>
      </c>
      <c r="L25" s="43">
        <v>0.83402777777777803</v>
      </c>
      <c r="M25" s="43">
        <v>0.83402777777777803</v>
      </c>
      <c r="N25" s="44">
        <v>0.83402777777777803</v>
      </c>
      <c r="O25" s="44">
        <v>0.83402777777777803</v>
      </c>
      <c r="P25" s="44">
        <v>0.83402777777777803</v>
      </c>
      <c r="Q25" s="44">
        <v>0.83402777777777803</v>
      </c>
      <c r="R25" s="43">
        <v>0.83402777777777803</v>
      </c>
      <c r="S25" s="43">
        <v>0.83402777777777803</v>
      </c>
      <c r="T25" s="44">
        <v>0.79236111111111096</v>
      </c>
      <c r="U25" s="43">
        <v>0.83402777777777803</v>
      </c>
      <c r="V25" s="44">
        <v>0.83402777777777803</v>
      </c>
      <c r="W25" s="44">
        <v>0.83402777777777803</v>
      </c>
      <c r="X25" s="43">
        <v>0.83402777777777803</v>
      </c>
      <c r="Y25" s="43">
        <v>0.83402777777777803</v>
      </c>
      <c r="Z25" s="43">
        <v>0.83402777777777803</v>
      </c>
      <c r="AA25" s="5"/>
      <c r="AB25" s="43">
        <v>0.83402777777777803</v>
      </c>
      <c r="AC25" s="23"/>
      <c r="AD25" s="5"/>
      <c r="AE25" s="43">
        <v>0.83402777777777803</v>
      </c>
      <c r="AF25" s="43">
        <v>0.83402777777777803</v>
      </c>
      <c r="AG25" s="43">
        <v>0.83402777777777803</v>
      </c>
      <c r="AH25" s="43">
        <v>0.83402777777777803</v>
      </c>
      <c r="AI25" s="43">
        <v>0.83402777777777803</v>
      </c>
      <c r="AJ25" s="43">
        <v>0.83402777777777803</v>
      </c>
      <c r="AK25" s="43">
        <v>0.83402777777777803</v>
      </c>
      <c r="AL25" s="43">
        <v>0.83402777777777803</v>
      </c>
      <c r="AN25" s="43">
        <v>0.95902777777777803</v>
      </c>
      <c r="AO25" s="43">
        <v>0.83402777777777803</v>
      </c>
      <c r="AMN25" s="1"/>
    </row>
    <row r="26" spans="1:41 1028:1028" ht="21">
      <c r="A26" s="6" t="s">
        <v>84</v>
      </c>
      <c r="B26" s="12"/>
      <c r="C26" s="82">
        <v>2</v>
      </c>
      <c r="D26" s="82"/>
      <c r="E26" s="84">
        <v>2</v>
      </c>
      <c r="F26" s="14"/>
      <c r="G26" s="14">
        <v>3</v>
      </c>
      <c r="H26" s="23"/>
      <c r="I26" s="13">
        <v>2</v>
      </c>
      <c r="J26" s="5"/>
      <c r="K26" s="14">
        <v>5</v>
      </c>
      <c r="L26" s="13">
        <v>2</v>
      </c>
      <c r="M26" s="13">
        <v>2</v>
      </c>
      <c r="N26" s="13">
        <v>2</v>
      </c>
      <c r="O26" s="13">
        <v>2</v>
      </c>
      <c r="P26" s="13">
        <v>3</v>
      </c>
      <c r="Q26" s="13">
        <v>2</v>
      </c>
      <c r="R26" s="13">
        <v>2</v>
      </c>
      <c r="S26" s="13">
        <v>2</v>
      </c>
      <c r="T26" s="16">
        <v>2</v>
      </c>
      <c r="U26" s="13">
        <v>2</v>
      </c>
      <c r="V26" s="13">
        <v>2</v>
      </c>
      <c r="W26" s="13">
        <v>2</v>
      </c>
      <c r="X26" s="13">
        <v>2</v>
      </c>
      <c r="Y26" s="13">
        <v>2</v>
      </c>
      <c r="Z26" s="13">
        <v>2</v>
      </c>
      <c r="AA26" s="5"/>
      <c r="AB26" s="13">
        <v>2</v>
      </c>
      <c r="AC26" s="23"/>
      <c r="AD26" s="5"/>
      <c r="AE26" s="13">
        <v>2</v>
      </c>
      <c r="AF26" s="13">
        <v>2</v>
      </c>
      <c r="AG26" s="13">
        <v>2</v>
      </c>
      <c r="AH26" s="13">
        <v>2</v>
      </c>
      <c r="AI26" s="13">
        <v>2</v>
      </c>
      <c r="AJ26" s="13">
        <v>2</v>
      </c>
      <c r="AK26" s="13">
        <v>2</v>
      </c>
      <c r="AL26" s="13">
        <v>2</v>
      </c>
      <c r="AN26" s="13">
        <v>2</v>
      </c>
      <c r="AO26" s="13">
        <v>2</v>
      </c>
      <c r="AMN26" s="1"/>
    </row>
    <row r="27" spans="1:41 1028:1028" ht="21.75" thickBot="1">
      <c r="A27" s="6" t="s">
        <v>85</v>
      </c>
      <c r="B27" s="45" t="s">
        <v>86</v>
      </c>
      <c r="C27" s="82" t="s">
        <v>87</v>
      </c>
      <c r="D27" s="82"/>
      <c r="E27" s="84" t="s">
        <v>87</v>
      </c>
      <c r="F27" s="14"/>
      <c r="G27" s="14" t="s">
        <v>87</v>
      </c>
      <c r="H27" s="23"/>
      <c r="I27" s="13" t="s">
        <v>87</v>
      </c>
      <c r="J27" s="5"/>
      <c r="K27" s="14" t="s">
        <v>87</v>
      </c>
      <c r="L27" s="13" t="s">
        <v>87</v>
      </c>
      <c r="M27" s="13" t="s">
        <v>87</v>
      </c>
      <c r="N27" s="13" t="s">
        <v>87</v>
      </c>
      <c r="O27" s="13" t="s">
        <v>87</v>
      </c>
      <c r="P27" s="13" t="s">
        <v>87</v>
      </c>
      <c r="Q27" s="13" t="s">
        <v>87</v>
      </c>
      <c r="R27" s="13" t="s">
        <v>87</v>
      </c>
      <c r="S27" s="13" t="s">
        <v>87</v>
      </c>
      <c r="T27" s="16" t="s">
        <v>87</v>
      </c>
      <c r="U27" s="13" t="s">
        <v>87</v>
      </c>
      <c r="V27" s="13" t="s">
        <v>87</v>
      </c>
      <c r="W27" s="13" t="s">
        <v>87</v>
      </c>
      <c r="X27" s="13" t="s">
        <v>87</v>
      </c>
      <c r="Y27" s="13" t="s">
        <v>87</v>
      </c>
      <c r="Z27" s="13" t="s">
        <v>87</v>
      </c>
      <c r="AA27" s="5"/>
      <c r="AB27" s="13" t="s">
        <v>87</v>
      </c>
      <c r="AC27" s="23"/>
      <c r="AD27" s="5"/>
      <c r="AE27" s="13" t="s">
        <v>87</v>
      </c>
      <c r="AF27" s="13" t="s">
        <v>87</v>
      </c>
      <c r="AG27" s="13" t="s">
        <v>87</v>
      </c>
      <c r="AH27" s="13" t="s">
        <v>87</v>
      </c>
      <c r="AI27" s="13" t="s">
        <v>87</v>
      </c>
      <c r="AJ27" s="13" t="s">
        <v>87</v>
      </c>
      <c r="AK27" s="13" t="s">
        <v>87</v>
      </c>
      <c r="AL27" s="13" t="s">
        <v>87</v>
      </c>
      <c r="AN27" s="13" t="s">
        <v>87</v>
      </c>
      <c r="AO27" s="13" t="s">
        <v>87</v>
      </c>
      <c r="AMN27" s="1"/>
    </row>
    <row r="28" spans="1:41 1028:1028" ht="21">
      <c r="A28" s="46" t="s">
        <v>88</v>
      </c>
      <c r="B28" s="47" t="s">
        <v>89</v>
      </c>
      <c r="C28" s="101">
        <v>4</v>
      </c>
      <c r="D28" s="101"/>
      <c r="E28" s="85">
        <v>4</v>
      </c>
      <c r="F28" s="24"/>
      <c r="G28" s="24">
        <v>5</v>
      </c>
      <c r="H28" s="23"/>
      <c r="I28" s="25">
        <v>4</v>
      </c>
      <c r="J28" s="5"/>
      <c r="K28" s="24">
        <v>0</v>
      </c>
      <c r="L28" s="25">
        <v>0</v>
      </c>
      <c r="M28" s="25">
        <v>4</v>
      </c>
      <c r="N28" s="25">
        <v>5</v>
      </c>
      <c r="O28" s="25">
        <v>5</v>
      </c>
      <c r="P28" s="25">
        <v>5</v>
      </c>
      <c r="Q28" s="25">
        <v>4</v>
      </c>
      <c r="R28" s="25">
        <v>4</v>
      </c>
      <c r="S28" s="25">
        <v>0</v>
      </c>
      <c r="T28" s="26">
        <v>7</v>
      </c>
      <c r="U28" s="25">
        <v>0</v>
      </c>
      <c r="V28" s="25">
        <v>0</v>
      </c>
      <c r="W28" s="25">
        <v>4</v>
      </c>
      <c r="X28" s="25">
        <v>4</v>
      </c>
      <c r="Y28" s="25">
        <v>4</v>
      </c>
      <c r="Z28" s="25">
        <v>4</v>
      </c>
      <c r="AA28" s="5"/>
      <c r="AB28" s="25">
        <v>5</v>
      </c>
      <c r="AC28" s="23"/>
      <c r="AD28" s="5"/>
      <c r="AE28" s="25">
        <v>4</v>
      </c>
      <c r="AF28" s="25">
        <v>4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N28" s="25">
        <v>4</v>
      </c>
      <c r="AO28" s="25">
        <v>4</v>
      </c>
      <c r="AMN28" s="1"/>
    </row>
    <row r="29" spans="1:41 1028:1028" ht="21">
      <c r="A29" s="46" t="s">
        <v>90</v>
      </c>
      <c r="B29" s="48" t="s">
        <v>91</v>
      </c>
      <c r="C29" s="82">
        <v>10</v>
      </c>
      <c r="D29" s="82"/>
      <c r="E29" s="84">
        <v>0</v>
      </c>
      <c r="F29" s="14"/>
      <c r="G29" s="14">
        <v>10</v>
      </c>
      <c r="H29" s="23"/>
      <c r="I29" s="13">
        <v>0</v>
      </c>
      <c r="J29" s="5"/>
      <c r="K29" s="14">
        <v>0</v>
      </c>
      <c r="L29" s="13">
        <v>0</v>
      </c>
      <c r="M29" s="13">
        <v>0</v>
      </c>
      <c r="N29" s="13">
        <v>15</v>
      </c>
      <c r="O29" s="13">
        <v>0</v>
      </c>
      <c r="P29" s="13">
        <v>15</v>
      </c>
      <c r="Q29" s="13">
        <v>0</v>
      </c>
      <c r="R29" s="13">
        <v>0</v>
      </c>
      <c r="S29" s="13">
        <v>0</v>
      </c>
      <c r="T29" s="16">
        <v>10</v>
      </c>
      <c r="U29" s="13">
        <v>0</v>
      </c>
      <c r="V29" s="13">
        <v>20</v>
      </c>
      <c r="W29" s="13">
        <v>10</v>
      </c>
      <c r="X29" s="13">
        <v>0</v>
      </c>
      <c r="Y29" s="13">
        <v>0</v>
      </c>
      <c r="Z29" s="13">
        <v>0</v>
      </c>
      <c r="AA29" s="5"/>
      <c r="AB29" s="13">
        <v>0</v>
      </c>
      <c r="AC29" s="23"/>
      <c r="AD29" s="5"/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N29" s="13">
        <v>0</v>
      </c>
      <c r="AO29" s="13">
        <v>0</v>
      </c>
      <c r="AMN29" s="1"/>
    </row>
    <row r="30" spans="1:41 1028:1028" ht="21">
      <c r="A30" s="46" t="s">
        <v>92</v>
      </c>
      <c r="B30" s="48" t="s">
        <v>93</v>
      </c>
      <c r="C30" s="82">
        <v>4</v>
      </c>
      <c r="D30" s="82"/>
      <c r="E30" s="84">
        <v>3.5</v>
      </c>
      <c r="F30" s="14"/>
      <c r="G30" s="14">
        <v>0</v>
      </c>
      <c r="H30" s="23"/>
      <c r="I30" s="13">
        <v>2</v>
      </c>
      <c r="J30" s="5"/>
      <c r="K30" s="14">
        <v>0</v>
      </c>
      <c r="L30" s="13">
        <v>0</v>
      </c>
      <c r="M30" s="13">
        <v>3</v>
      </c>
      <c r="N30" s="13">
        <v>2</v>
      </c>
      <c r="O30" s="13">
        <v>5</v>
      </c>
      <c r="P30" s="13">
        <v>2</v>
      </c>
      <c r="Q30" s="13">
        <v>11</v>
      </c>
      <c r="R30" s="13">
        <v>6</v>
      </c>
      <c r="S30" s="13">
        <v>0</v>
      </c>
      <c r="T30" s="16">
        <v>4</v>
      </c>
      <c r="U30" s="13">
        <v>0</v>
      </c>
      <c r="V30" s="13">
        <v>1</v>
      </c>
      <c r="W30" s="13">
        <v>4</v>
      </c>
      <c r="X30" s="13">
        <v>3</v>
      </c>
      <c r="Y30" s="13">
        <v>3</v>
      </c>
      <c r="Z30" s="13">
        <v>3</v>
      </c>
      <c r="AA30" s="5"/>
      <c r="AB30" s="13">
        <v>2</v>
      </c>
      <c r="AC30" s="23"/>
      <c r="AD30" s="5"/>
      <c r="AE30" s="13">
        <v>2</v>
      </c>
      <c r="AF30" s="13">
        <v>2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N30" s="13">
        <v>2</v>
      </c>
      <c r="AO30" s="13">
        <v>2</v>
      </c>
      <c r="AMN30" s="1"/>
    </row>
    <row r="31" spans="1:41 1028:1028" ht="21">
      <c r="A31" s="49" t="s">
        <v>94</v>
      </c>
      <c r="B31" s="50" t="s">
        <v>95</v>
      </c>
      <c r="C31" s="82">
        <v>0</v>
      </c>
      <c r="D31" s="82"/>
      <c r="E31" s="84">
        <v>0</v>
      </c>
      <c r="F31" s="14"/>
      <c r="G31" s="14">
        <v>0</v>
      </c>
      <c r="H31" s="23"/>
      <c r="I31" s="13">
        <v>0</v>
      </c>
      <c r="J31" s="5"/>
      <c r="K31" s="14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6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5"/>
      <c r="AB31" s="13">
        <v>0</v>
      </c>
      <c r="AC31" s="23"/>
      <c r="AD31" s="5"/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N31" s="13">
        <v>0</v>
      </c>
      <c r="AO31" s="13">
        <v>0</v>
      </c>
      <c r="AMN31" s="1"/>
    </row>
    <row r="32" spans="1:41 1028:1028" ht="21.75" thickBot="1">
      <c r="A32" s="49" t="s">
        <v>96</v>
      </c>
      <c r="B32" s="50" t="s">
        <v>97</v>
      </c>
      <c r="C32" s="102">
        <v>0</v>
      </c>
      <c r="D32" s="102"/>
      <c r="E32" s="86">
        <v>0</v>
      </c>
      <c r="F32" s="30"/>
      <c r="G32" s="30">
        <v>0</v>
      </c>
      <c r="H32" s="23"/>
      <c r="I32" s="32">
        <v>0</v>
      </c>
      <c r="J32" s="5"/>
      <c r="K32" s="30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3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5"/>
      <c r="AB32" s="32">
        <v>0</v>
      </c>
      <c r="AC32" s="23"/>
      <c r="AD32" s="5"/>
      <c r="AE32" s="32">
        <v>0</v>
      </c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N32" s="32">
        <v>0</v>
      </c>
      <c r="AO32" s="32">
        <v>0</v>
      </c>
      <c r="AMN32" s="1"/>
    </row>
    <row r="33" spans="1:41 1028:1028" ht="36">
      <c r="A33" s="6" t="s">
        <v>98</v>
      </c>
      <c r="B33" s="12" t="s">
        <v>99</v>
      </c>
      <c r="C33" s="82" t="s">
        <v>100</v>
      </c>
      <c r="D33" s="82"/>
      <c r="E33" s="84" t="s">
        <v>100</v>
      </c>
      <c r="F33" s="14"/>
      <c r="G33" s="14" t="s">
        <v>100</v>
      </c>
      <c r="H33" s="23"/>
      <c r="I33" s="14" t="s">
        <v>100</v>
      </c>
      <c r="J33" s="5"/>
      <c r="K33" s="14" t="s">
        <v>100</v>
      </c>
      <c r="L33" s="13" t="s">
        <v>100</v>
      </c>
      <c r="M33" s="13" t="s">
        <v>100</v>
      </c>
      <c r="N33" s="13" t="s">
        <v>100</v>
      </c>
      <c r="O33" s="13" t="s">
        <v>100</v>
      </c>
      <c r="P33" s="13" t="s">
        <v>100</v>
      </c>
      <c r="Q33" s="13" t="s">
        <v>100</v>
      </c>
      <c r="R33" s="14" t="s">
        <v>100</v>
      </c>
      <c r="S33" s="14" t="s">
        <v>100</v>
      </c>
      <c r="T33" s="16" t="s">
        <v>100</v>
      </c>
      <c r="U33" s="14" t="s">
        <v>100</v>
      </c>
      <c r="V33" s="13" t="s">
        <v>100</v>
      </c>
      <c r="W33" s="13" t="s">
        <v>100</v>
      </c>
      <c r="X33" s="14" t="s">
        <v>100</v>
      </c>
      <c r="Y33" s="14" t="s">
        <v>100</v>
      </c>
      <c r="Z33" s="14" t="s">
        <v>100</v>
      </c>
      <c r="AA33" s="5"/>
      <c r="AB33" s="14" t="s">
        <v>100</v>
      </c>
      <c r="AC33" s="23"/>
      <c r="AD33" s="5"/>
      <c r="AE33" s="14" t="s">
        <v>100</v>
      </c>
      <c r="AF33" s="14" t="s">
        <v>100</v>
      </c>
      <c r="AG33" s="14" t="s">
        <v>100</v>
      </c>
      <c r="AH33" s="14" t="s">
        <v>100</v>
      </c>
      <c r="AI33" s="14" t="s">
        <v>100</v>
      </c>
      <c r="AJ33" s="14" t="s">
        <v>100</v>
      </c>
      <c r="AK33" s="14" t="s">
        <v>100</v>
      </c>
      <c r="AL33" s="14" t="s">
        <v>100</v>
      </c>
      <c r="AN33" s="14" t="s">
        <v>100</v>
      </c>
      <c r="AO33" s="14" t="s">
        <v>100</v>
      </c>
      <c r="AMN33" s="1"/>
    </row>
    <row r="34" spans="1:41 1028:1028" ht="21">
      <c r="A34" s="6" t="s">
        <v>101</v>
      </c>
      <c r="B34" s="12"/>
      <c r="C34" s="82">
        <v>0</v>
      </c>
      <c r="D34" s="82"/>
      <c r="E34" s="84">
        <v>0</v>
      </c>
      <c r="F34" s="14"/>
      <c r="G34" s="14">
        <v>0</v>
      </c>
      <c r="H34" s="23"/>
      <c r="I34" s="14">
        <v>0</v>
      </c>
      <c r="J34" s="5"/>
      <c r="K34" s="14">
        <v>500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6">
        <v>0</v>
      </c>
      <c r="U34" s="13">
        <v>0</v>
      </c>
      <c r="V34" s="13">
        <v>0</v>
      </c>
      <c r="W34" s="13">
        <v>0</v>
      </c>
      <c r="X34" s="13">
        <v>1000</v>
      </c>
      <c r="Y34" s="13">
        <v>0</v>
      </c>
      <c r="Z34" s="13">
        <v>0</v>
      </c>
      <c r="AA34" s="5"/>
      <c r="AB34" s="13">
        <v>0</v>
      </c>
      <c r="AC34" s="23"/>
      <c r="AD34" s="5"/>
      <c r="AE34" s="13">
        <v>0</v>
      </c>
      <c r="AF34" s="13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N34" s="14">
        <v>0</v>
      </c>
      <c r="AO34" s="14">
        <v>0</v>
      </c>
      <c r="AMN34" s="1"/>
    </row>
    <row r="35" spans="1:41 1028:1028" ht="21.75" thickBot="1">
      <c r="A35" s="6" t="s">
        <v>102</v>
      </c>
      <c r="B35" s="12"/>
      <c r="C35" s="82">
        <v>0</v>
      </c>
      <c r="D35" s="82"/>
      <c r="E35" s="84">
        <v>0</v>
      </c>
      <c r="F35" s="14"/>
      <c r="G35" s="14">
        <v>0</v>
      </c>
      <c r="H35" s="23"/>
      <c r="I35" s="14">
        <v>0</v>
      </c>
      <c r="J35" s="5"/>
      <c r="K35" s="14">
        <v>50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6">
        <v>0</v>
      </c>
      <c r="U35" s="13">
        <v>0</v>
      </c>
      <c r="V35" s="13">
        <v>0</v>
      </c>
      <c r="W35" s="13">
        <v>0</v>
      </c>
      <c r="X35" s="13">
        <v>60</v>
      </c>
      <c r="Y35" s="13">
        <v>0</v>
      </c>
      <c r="Z35" s="13">
        <v>0</v>
      </c>
      <c r="AA35" s="5"/>
      <c r="AB35" s="13">
        <v>0</v>
      </c>
      <c r="AC35" s="23"/>
      <c r="AD35" s="5"/>
      <c r="AE35" s="13">
        <v>0</v>
      </c>
      <c r="AF35" s="13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N35" s="14">
        <v>0</v>
      </c>
      <c r="AO35" s="14">
        <v>0</v>
      </c>
      <c r="AMN35" s="1"/>
    </row>
    <row r="36" spans="1:41 1028:1028" ht="21">
      <c r="A36" s="51" t="s">
        <v>103</v>
      </c>
      <c r="B36" s="52"/>
      <c r="C36" s="101">
        <v>6</v>
      </c>
      <c r="D36" s="101"/>
      <c r="E36" s="85">
        <v>6</v>
      </c>
      <c r="F36" s="24"/>
      <c r="G36" s="24">
        <v>6</v>
      </c>
      <c r="H36" s="23"/>
      <c r="I36" s="24">
        <v>6</v>
      </c>
      <c r="J36" s="5"/>
      <c r="K36" s="24">
        <v>9</v>
      </c>
      <c r="L36" s="25">
        <v>5</v>
      </c>
      <c r="M36" s="25">
        <v>6</v>
      </c>
      <c r="N36" s="25">
        <v>3</v>
      </c>
      <c r="O36" s="25">
        <v>9</v>
      </c>
      <c r="P36" s="25">
        <v>7</v>
      </c>
      <c r="Q36" s="25">
        <v>9</v>
      </c>
      <c r="R36" s="25">
        <v>5</v>
      </c>
      <c r="S36" s="25">
        <v>6</v>
      </c>
      <c r="T36" s="26">
        <v>6</v>
      </c>
      <c r="U36" s="25">
        <v>6</v>
      </c>
      <c r="V36" s="25">
        <v>6</v>
      </c>
      <c r="W36" s="25">
        <v>6</v>
      </c>
      <c r="X36" s="25">
        <v>9</v>
      </c>
      <c r="Y36" s="25">
        <v>9</v>
      </c>
      <c r="Z36" s="25">
        <v>9</v>
      </c>
      <c r="AA36" s="5"/>
      <c r="AB36" s="25">
        <v>9</v>
      </c>
      <c r="AC36" s="23"/>
      <c r="AD36" s="5"/>
      <c r="AE36" s="25">
        <v>9</v>
      </c>
      <c r="AF36" s="25">
        <v>9</v>
      </c>
      <c r="AG36" s="25">
        <v>9</v>
      </c>
      <c r="AH36" s="25">
        <v>9</v>
      </c>
      <c r="AI36" s="25">
        <v>9</v>
      </c>
      <c r="AJ36" s="25">
        <v>9</v>
      </c>
      <c r="AK36" s="25">
        <v>9</v>
      </c>
      <c r="AL36" s="25">
        <v>9</v>
      </c>
      <c r="AN36" s="25">
        <v>9</v>
      </c>
      <c r="AO36" s="25">
        <v>9</v>
      </c>
      <c r="AMN36" s="1"/>
    </row>
    <row r="37" spans="1:41 1028:1028" ht="18.399999999999999" customHeight="1" thickBot="1">
      <c r="A37" s="51" t="s">
        <v>104</v>
      </c>
      <c r="B37" s="52"/>
      <c r="C37" s="102">
        <v>6</v>
      </c>
      <c r="D37" s="102"/>
      <c r="E37" s="86">
        <v>6</v>
      </c>
      <c r="F37" s="30"/>
      <c r="G37" s="30">
        <v>6</v>
      </c>
      <c r="H37" s="23"/>
      <c r="I37" s="30">
        <v>6</v>
      </c>
      <c r="J37" s="5"/>
      <c r="K37" s="30">
        <v>9</v>
      </c>
      <c r="L37" s="32">
        <v>4</v>
      </c>
      <c r="M37" s="32">
        <v>6</v>
      </c>
      <c r="N37" s="32">
        <v>3</v>
      </c>
      <c r="O37" s="32">
        <v>9</v>
      </c>
      <c r="P37" s="32">
        <v>5</v>
      </c>
      <c r="Q37" s="32">
        <v>9</v>
      </c>
      <c r="R37" s="32">
        <v>4</v>
      </c>
      <c r="S37" s="32">
        <v>5</v>
      </c>
      <c r="T37" s="33">
        <v>6</v>
      </c>
      <c r="U37" s="32">
        <v>4</v>
      </c>
      <c r="V37" s="32">
        <v>6</v>
      </c>
      <c r="W37" s="32">
        <v>6</v>
      </c>
      <c r="X37" s="32">
        <v>9</v>
      </c>
      <c r="Y37" s="32">
        <v>6</v>
      </c>
      <c r="Z37" s="32">
        <v>9</v>
      </c>
      <c r="AA37" s="5"/>
      <c r="AB37" s="32">
        <v>9</v>
      </c>
      <c r="AC37" s="23"/>
      <c r="AD37" s="5"/>
      <c r="AE37" s="32">
        <v>9</v>
      </c>
      <c r="AF37" s="32">
        <v>9</v>
      </c>
      <c r="AG37" s="32">
        <v>9</v>
      </c>
      <c r="AH37" s="32">
        <v>9</v>
      </c>
      <c r="AI37" s="32">
        <v>9</v>
      </c>
      <c r="AJ37" s="32">
        <v>9</v>
      </c>
      <c r="AK37" s="32">
        <v>9</v>
      </c>
      <c r="AL37" s="32">
        <v>9</v>
      </c>
      <c r="AN37" s="32">
        <v>9</v>
      </c>
      <c r="AO37" s="32">
        <v>9</v>
      </c>
      <c r="AMN37" s="1"/>
    </row>
    <row r="38" spans="1:41 1028:1028" ht="21">
      <c r="A38" s="6" t="s">
        <v>105</v>
      </c>
      <c r="B38" s="12"/>
      <c r="C38" s="82" t="s">
        <v>106</v>
      </c>
      <c r="D38" s="82"/>
      <c r="E38" s="84" t="s">
        <v>106</v>
      </c>
      <c r="F38" s="14"/>
      <c r="G38" s="14" t="s">
        <v>106</v>
      </c>
      <c r="H38" s="23"/>
      <c r="I38" s="14" t="s">
        <v>106</v>
      </c>
      <c r="J38" s="5"/>
      <c r="K38" s="14" t="s">
        <v>106</v>
      </c>
      <c r="L38" s="13" t="s">
        <v>106</v>
      </c>
      <c r="M38" s="13" t="s">
        <v>106</v>
      </c>
      <c r="N38" s="13" t="s">
        <v>106</v>
      </c>
      <c r="O38" s="13" t="s">
        <v>106</v>
      </c>
      <c r="P38" s="13" t="s">
        <v>106</v>
      </c>
      <c r="Q38" s="13" t="s">
        <v>106</v>
      </c>
      <c r="R38" s="13" t="s">
        <v>106</v>
      </c>
      <c r="S38" s="13" t="s">
        <v>106</v>
      </c>
      <c r="T38" s="16" t="s">
        <v>106</v>
      </c>
      <c r="U38" s="13" t="s">
        <v>106</v>
      </c>
      <c r="V38" s="13" t="s">
        <v>106</v>
      </c>
      <c r="W38" s="13" t="s">
        <v>106</v>
      </c>
      <c r="X38" s="13" t="s">
        <v>106</v>
      </c>
      <c r="Y38" s="13" t="s">
        <v>106</v>
      </c>
      <c r="Z38" s="13" t="s">
        <v>106</v>
      </c>
      <c r="AA38" s="5"/>
      <c r="AB38" s="13" t="s">
        <v>106</v>
      </c>
      <c r="AC38" s="23"/>
      <c r="AD38" s="5"/>
      <c r="AE38" s="13" t="s">
        <v>106</v>
      </c>
      <c r="AF38" s="13" t="s">
        <v>106</v>
      </c>
      <c r="AG38" s="13" t="s">
        <v>106</v>
      </c>
      <c r="AH38" s="13" t="s">
        <v>106</v>
      </c>
      <c r="AI38" s="13" t="s">
        <v>106</v>
      </c>
      <c r="AJ38" s="13" t="s">
        <v>106</v>
      </c>
      <c r="AK38" s="13" t="s">
        <v>106</v>
      </c>
      <c r="AL38" s="13" t="s">
        <v>106</v>
      </c>
      <c r="AN38" s="13" t="s">
        <v>106</v>
      </c>
      <c r="AO38" s="13" t="s">
        <v>106</v>
      </c>
      <c r="AMN38" s="1"/>
    </row>
    <row r="39" spans="1:41 1028:1028" ht="21">
      <c r="A39" s="6" t="s">
        <v>107</v>
      </c>
      <c r="B39" s="12"/>
      <c r="C39" s="82">
        <v>1000</v>
      </c>
      <c r="D39" s="82"/>
      <c r="E39" s="84">
        <v>30</v>
      </c>
      <c r="F39" s="14"/>
      <c r="G39" s="14">
        <v>1000</v>
      </c>
      <c r="H39" s="23"/>
      <c r="I39" s="14">
        <v>1000</v>
      </c>
      <c r="J39" s="5"/>
      <c r="K39" s="14">
        <v>1000</v>
      </c>
      <c r="L39" s="13">
        <v>1000</v>
      </c>
      <c r="M39" s="13">
        <v>1000</v>
      </c>
      <c r="N39" s="13">
        <v>1000</v>
      </c>
      <c r="O39" s="13">
        <v>1000</v>
      </c>
      <c r="P39" s="13">
        <v>1000</v>
      </c>
      <c r="Q39" s="13">
        <v>1000</v>
      </c>
      <c r="R39" s="13">
        <v>1000</v>
      </c>
      <c r="S39" s="13">
        <v>1000</v>
      </c>
      <c r="T39" s="16">
        <v>1000</v>
      </c>
      <c r="U39" s="13">
        <v>1000</v>
      </c>
      <c r="V39" s="13">
        <v>1000</v>
      </c>
      <c r="W39" s="13">
        <v>1000</v>
      </c>
      <c r="X39" s="13">
        <v>1000</v>
      </c>
      <c r="Y39" s="13">
        <v>1000</v>
      </c>
      <c r="Z39" s="13">
        <v>1000</v>
      </c>
      <c r="AA39" s="5"/>
      <c r="AB39" s="13">
        <v>1000</v>
      </c>
      <c r="AC39" s="23"/>
      <c r="AD39" s="5"/>
      <c r="AE39" s="13">
        <v>20</v>
      </c>
      <c r="AF39" s="13">
        <v>20</v>
      </c>
      <c r="AG39" s="13">
        <v>1000</v>
      </c>
      <c r="AH39" s="13">
        <v>1000</v>
      </c>
      <c r="AI39" s="13">
        <v>1000</v>
      </c>
      <c r="AJ39" s="13">
        <v>1000</v>
      </c>
      <c r="AK39" s="13">
        <v>1000</v>
      </c>
      <c r="AL39" s="13">
        <v>1000</v>
      </c>
      <c r="AN39" s="13">
        <v>1000</v>
      </c>
      <c r="AO39" s="13">
        <v>1000</v>
      </c>
      <c r="AMN39" s="1"/>
    </row>
    <row r="40" spans="1:41 1028:1028" ht="21.75" thickBot="1">
      <c r="A40" s="6" t="s">
        <v>108</v>
      </c>
      <c r="B40" s="12"/>
      <c r="C40" s="82" t="s">
        <v>106</v>
      </c>
      <c r="D40" s="82"/>
      <c r="E40" s="84" t="s">
        <v>106</v>
      </c>
      <c r="F40" s="14"/>
      <c r="G40" s="14" t="s">
        <v>106</v>
      </c>
      <c r="H40" s="23"/>
      <c r="I40" s="14" t="s">
        <v>106</v>
      </c>
      <c r="J40" s="5"/>
      <c r="K40" s="14" t="s">
        <v>106</v>
      </c>
      <c r="L40" s="13" t="s">
        <v>106</v>
      </c>
      <c r="M40" s="13" t="s">
        <v>106</v>
      </c>
      <c r="N40" s="13" t="s">
        <v>106</v>
      </c>
      <c r="O40" s="13" t="s">
        <v>106</v>
      </c>
      <c r="P40" s="13" t="s">
        <v>106</v>
      </c>
      <c r="Q40" s="13" t="s">
        <v>106</v>
      </c>
      <c r="R40" s="13" t="s">
        <v>106</v>
      </c>
      <c r="S40" s="13" t="s">
        <v>106</v>
      </c>
      <c r="T40" s="16" t="s">
        <v>106</v>
      </c>
      <c r="U40" s="13" t="s">
        <v>106</v>
      </c>
      <c r="V40" s="13" t="s">
        <v>106</v>
      </c>
      <c r="W40" s="13" t="s">
        <v>106</v>
      </c>
      <c r="X40" s="13" t="s">
        <v>106</v>
      </c>
      <c r="Y40" s="13" t="s">
        <v>106</v>
      </c>
      <c r="Z40" s="13" t="s">
        <v>106</v>
      </c>
      <c r="AA40" s="5"/>
      <c r="AB40" s="13" t="s">
        <v>106</v>
      </c>
      <c r="AC40" s="23"/>
      <c r="AD40" s="5"/>
      <c r="AE40" s="13" t="s">
        <v>106</v>
      </c>
      <c r="AF40" s="13" t="s">
        <v>106</v>
      </c>
      <c r="AG40" s="13" t="s">
        <v>106</v>
      </c>
      <c r="AH40" s="13" t="s">
        <v>106</v>
      </c>
      <c r="AI40" s="13" t="s">
        <v>106</v>
      </c>
      <c r="AJ40" s="13" t="s">
        <v>106</v>
      </c>
      <c r="AK40" s="13" t="s">
        <v>106</v>
      </c>
      <c r="AL40" s="13" t="s">
        <v>106</v>
      </c>
      <c r="AN40" s="13" t="s">
        <v>106</v>
      </c>
      <c r="AO40" s="13" t="s">
        <v>106</v>
      </c>
      <c r="AMN40" s="1"/>
    </row>
    <row r="41" spans="1:41 1028:1028" ht="21.75" thickBot="1">
      <c r="A41" s="6" t="s">
        <v>109</v>
      </c>
      <c r="B41" s="12" t="s">
        <v>110</v>
      </c>
      <c r="C41" s="104">
        <v>0</v>
      </c>
      <c r="D41" s="104"/>
      <c r="E41" s="88">
        <v>0</v>
      </c>
      <c r="F41" s="53"/>
      <c r="G41" s="53">
        <v>0</v>
      </c>
      <c r="H41" s="23"/>
      <c r="I41" s="53">
        <v>0</v>
      </c>
      <c r="J41" s="5"/>
      <c r="K41" s="53">
        <v>0</v>
      </c>
      <c r="L41" s="54">
        <v>0</v>
      </c>
      <c r="M41" s="54">
        <v>0</v>
      </c>
      <c r="N41" s="54">
        <v>0</v>
      </c>
      <c r="O41" s="54">
        <v>0</v>
      </c>
      <c r="P41" s="54">
        <v>0</v>
      </c>
      <c r="Q41" s="54">
        <v>0</v>
      </c>
      <c r="R41" s="54">
        <v>0</v>
      </c>
      <c r="S41" s="54">
        <v>0</v>
      </c>
      <c r="T41" s="55">
        <v>0</v>
      </c>
      <c r="U41" s="54">
        <v>0</v>
      </c>
      <c r="V41" s="54">
        <v>0</v>
      </c>
      <c r="W41" s="54">
        <v>0</v>
      </c>
      <c r="X41" s="54">
        <v>0</v>
      </c>
      <c r="Y41" s="54">
        <v>0</v>
      </c>
      <c r="Z41" s="54">
        <v>0</v>
      </c>
      <c r="AA41" s="5"/>
      <c r="AB41" s="54">
        <v>0</v>
      </c>
      <c r="AC41" s="23"/>
      <c r="AD41" s="5"/>
      <c r="AE41" s="54">
        <v>0</v>
      </c>
      <c r="AF41" s="54">
        <v>0</v>
      </c>
      <c r="AG41" s="54">
        <v>0</v>
      </c>
      <c r="AH41" s="54">
        <v>0</v>
      </c>
      <c r="AI41" s="54">
        <v>0</v>
      </c>
      <c r="AJ41" s="54">
        <v>0</v>
      </c>
      <c r="AK41" s="54">
        <v>0</v>
      </c>
      <c r="AL41" s="54">
        <v>0</v>
      </c>
      <c r="AN41" s="54">
        <v>0</v>
      </c>
      <c r="AO41" s="54">
        <v>0</v>
      </c>
      <c r="AMN41" s="1"/>
    </row>
    <row r="42" spans="1:41 1028:1028" ht="54">
      <c r="A42" s="56" t="s">
        <v>111</v>
      </c>
      <c r="B42" s="57"/>
      <c r="C42" s="105" t="s">
        <v>126</v>
      </c>
      <c r="D42" s="105"/>
      <c r="E42" s="89" t="s">
        <v>112</v>
      </c>
      <c r="F42" s="58"/>
      <c r="G42" s="58" t="s">
        <v>112</v>
      </c>
      <c r="H42" s="23"/>
      <c r="I42" s="58" t="s">
        <v>113</v>
      </c>
      <c r="J42" s="5"/>
      <c r="K42" s="58" t="s">
        <v>114</v>
      </c>
      <c r="L42" s="58" t="s">
        <v>115</v>
      </c>
      <c r="M42" s="58" t="s">
        <v>116</v>
      </c>
      <c r="N42" s="58" t="s">
        <v>117</v>
      </c>
      <c r="O42" s="58" t="s">
        <v>118</v>
      </c>
      <c r="P42" s="58" t="s">
        <v>119</v>
      </c>
      <c r="Q42" s="58" t="s">
        <v>120</v>
      </c>
      <c r="R42" s="58" t="s">
        <v>121</v>
      </c>
      <c r="S42" s="58" t="s">
        <v>122</v>
      </c>
      <c r="T42" s="58" t="s">
        <v>123</v>
      </c>
      <c r="U42" s="58" t="s">
        <v>124</v>
      </c>
      <c r="V42" s="58" t="s">
        <v>125</v>
      </c>
      <c r="W42" s="58" t="s">
        <v>126</v>
      </c>
      <c r="X42" s="58" t="s">
        <v>127</v>
      </c>
      <c r="Y42" s="59" t="s">
        <v>128</v>
      </c>
      <c r="Z42" s="59" t="s">
        <v>129</v>
      </c>
      <c r="AA42" s="5"/>
      <c r="AB42" s="59" t="s">
        <v>112</v>
      </c>
      <c r="AC42" s="23"/>
      <c r="AD42" s="5"/>
      <c r="AE42" s="58" t="s">
        <v>127</v>
      </c>
      <c r="AF42" s="58" t="s">
        <v>127</v>
      </c>
      <c r="AG42" s="58" t="s">
        <v>127</v>
      </c>
      <c r="AH42" s="58" t="s">
        <v>127</v>
      </c>
      <c r="AI42" s="58" t="s">
        <v>127</v>
      </c>
      <c r="AJ42" s="58" t="s">
        <v>127</v>
      </c>
      <c r="AK42" s="58" t="s">
        <v>127</v>
      </c>
      <c r="AL42" s="58" t="s">
        <v>127</v>
      </c>
      <c r="AN42" s="58" t="s">
        <v>127</v>
      </c>
      <c r="AO42" s="58" t="s">
        <v>127</v>
      </c>
      <c r="AMN42" s="1"/>
    </row>
    <row r="43" spans="1:41 1028:1028" ht="21.75" thickBot="1">
      <c r="A43" s="60" t="s">
        <v>130</v>
      </c>
      <c r="B43" s="61"/>
      <c r="C43" s="84">
        <v>1</v>
      </c>
      <c r="D43" s="84"/>
      <c r="E43" s="84">
        <v>1</v>
      </c>
      <c r="F43" s="62"/>
      <c r="G43" s="62">
        <v>1</v>
      </c>
      <c r="H43" s="23"/>
      <c r="I43" s="62">
        <v>1</v>
      </c>
      <c r="J43" s="5"/>
      <c r="K43" s="62">
        <v>1</v>
      </c>
      <c r="L43" s="63">
        <v>1</v>
      </c>
      <c r="M43" s="63">
        <v>1</v>
      </c>
      <c r="N43" s="63">
        <v>1</v>
      </c>
      <c r="O43" s="63">
        <v>1</v>
      </c>
      <c r="P43" s="63">
        <v>1</v>
      </c>
      <c r="Q43" s="63">
        <v>1</v>
      </c>
      <c r="R43" s="63">
        <v>1</v>
      </c>
      <c r="S43" s="63">
        <v>1</v>
      </c>
      <c r="T43" s="33">
        <v>1</v>
      </c>
      <c r="U43" s="63">
        <v>1</v>
      </c>
      <c r="V43" s="63">
        <v>1</v>
      </c>
      <c r="W43" s="63">
        <v>1</v>
      </c>
      <c r="X43" s="63">
        <v>1</v>
      </c>
      <c r="Y43" s="63">
        <v>1</v>
      </c>
      <c r="Z43" s="63">
        <v>1</v>
      </c>
      <c r="AA43" s="5"/>
      <c r="AB43" s="63">
        <v>1</v>
      </c>
      <c r="AC43" s="23"/>
      <c r="AD43" s="5"/>
      <c r="AE43" s="63">
        <v>1</v>
      </c>
      <c r="AF43" s="63">
        <v>1</v>
      </c>
      <c r="AG43" s="63">
        <v>1</v>
      </c>
      <c r="AH43" s="63">
        <v>1</v>
      </c>
      <c r="AI43" s="63">
        <v>1</v>
      </c>
      <c r="AJ43" s="63">
        <v>1</v>
      </c>
      <c r="AK43" s="63">
        <v>1</v>
      </c>
      <c r="AL43" s="63">
        <v>1</v>
      </c>
      <c r="AN43" s="63">
        <v>1</v>
      </c>
      <c r="AO43" s="63">
        <v>1</v>
      </c>
      <c r="AMN43" s="1"/>
    </row>
    <row r="44" spans="1:41 1028:1028" ht="21.75" thickBot="1">
      <c r="A44" s="79"/>
      <c r="B44" s="80"/>
      <c r="C44" s="84">
        <v>1</v>
      </c>
      <c r="D44" s="84"/>
      <c r="E44" s="90">
        <v>1</v>
      </c>
      <c r="F44" s="62"/>
      <c r="G44" s="62">
        <v>1</v>
      </c>
      <c r="H44" s="23"/>
      <c r="I44" s="62"/>
      <c r="J44" s="5"/>
      <c r="K44" s="62"/>
      <c r="L44" s="63"/>
      <c r="M44" s="63"/>
      <c r="N44" s="63"/>
      <c r="O44" s="63"/>
      <c r="P44" s="63"/>
      <c r="Q44" s="63"/>
      <c r="R44" s="63"/>
      <c r="S44" s="63"/>
      <c r="T44" s="33"/>
      <c r="U44" s="63"/>
      <c r="V44" s="63"/>
      <c r="W44" s="63"/>
      <c r="X44" s="63"/>
      <c r="Y44" s="63"/>
      <c r="Z44" s="63"/>
      <c r="AA44" s="5"/>
      <c r="AB44" s="63"/>
      <c r="AC44" s="23"/>
      <c r="AD44" s="5"/>
      <c r="AE44" s="63"/>
      <c r="AF44" s="63"/>
      <c r="AG44" s="63"/>
      <c r="AH44" s="63"/>
      <c r="AI44" s="63"/>
      <c r="AJ44" s="63"/>
      <c r="AK44" s="63"/>
      <c r="AL44" s="63"/>
      <c r="AN44" s="63"/>
      <c r="AO44" s="63"/>
      <c r="AMN44" s="1"/>
    </row>
    <row r="45" spans="1:41 1028:1028" ht="18.399999999999999" customHeight="1" thickBot="1">
      <c r="A45" s="64" t="s">
        <v>131</v>
      </c>
      <c r="B45" s="65" t="s">
        <v>132</v>
      </c>
      <c r="C45" s="106" t="s">
        <v>100</v>
      </c>
      <c r="D45" s="106"/>
      <c r="E45" s="90" t="s">
        <v>100</v>
      </c>
      <c r="F45" s="62"/>
      <c r="G45" s="62" t="s">
        <v>100</v>
      </c>
      <c r="H45" s="23"/>
      <c r="I45" s="62" t="s">
        <v>100</v>
      </c>
      <c r="J45" s="5"/>
      <c r="K45" s="62" t="s">
        <v>100</v>
      </c>
      <c r="L45" s="63" t="s">
        <v>100</v>
      </c>
      <c r="M45" s="63" t="s">
        <v>100</v>
      </c>
      <c r="N45" s="63" t="s">
        <v>100</v>
      </c>
      <c r="O45" s="63" t="s">
        <v>100</v>
      </c>
      <c r="P45" s="63" t="s">
        <v>100</v>
      </c>
      <c r="Q45" s="63" t="s">
        <v>100</v>
      </c>
      <c r="R45" s="63" t="s">
        <v>100</v>
      </c>
      <c r="S45" s="63" t="s">
        <v>100</v>
      </c>
      <c r="T45" s="33" t="s">
        <v>100</v>
      </c>
      <c r="U45" s="63" t="s">
        <v>100</v>
      </c>
      <c r="V45" s="63" t="s">
        <v>100</v>
      </c>
      <c r="W45" s="63" t="s">
        <v>100</v>
      </c>
      <c r="X45" s="63" t="s">
        <v>100</v>
      </c>
      <c r="Y45" s="63" t="s">
        <v>100</v>
      </c>
      <c r="Z45" s="63" t="s">
        <v>100</v>
      </c>
      <c r="AA45" s="5"/>
      <c r="AB45" s="63" t="s">
        <v>100</v>
      </c>
      <c r="AC45" s="23"/>
      <c r="AD45" s="5"/>
      <c r="AE45" s="63" t="s">
        <v>100</v>
      </c>
      <c r="AF45" s="63" t="s">
        <v>100</v>
      </c>
      <c r="AG45" s="63" t="s">
        <v>100</v>
      </c>
      <c r="AH45" s="63" t="s">
        <v>100</v>
      </c>
      <c r="AI45" s="63" t="s">
        <v>100</v>
      </c>
      <c r="AJ45" s="63" t="s">
        <v>100</v>
      </c>
      <c r="AK45" s="63" t="s">
        <v>100</v>
      </c>
      <c r="AL45" s="63" t="s">
        <v>100</v>
      </c>
      <c r="AN45" s="63" t="s">
        <v>100</v>
      </c>
      <c r="AO45" s="63" t="s">
        <v>100</v>
      </c>
      <c r="AMN45" s="1"/>
    </row>
    <row r="46" spans="1:41 1028:1028" ht="22.7" customHeight="1">
      <c r="A46" s="66"/>
      <c r="B46" s="66"/>
      <c r="C46" s="107">
        <v>100</v>
      </c>
      <c r="D46" s="107"/>
      <c r="E46" s="91">
        <v>60</v>
      </c>
      <c r="F46" s="67"/>
      <c r="G46" s="67">
        <v>10</v>
      </c>
      <c r="H46" s="5"/>
      <c r="I46" s="67">
        <v>43</v>
      </c>
      <c r="J46" s="5"/>
      <c r="K46" s="67">
        <v>43</v>
      </c>
      <c r="L46" s="67">
        <v>43</v>
      </c>
      <c r="M46" s="67">
        <v>43</v>
      </c>
      <c r="N46" s="67">
        <v>43</v>
      </c>
      <c r="O46" s="67">
        <v>43</v>
      </c>
      <c r="P46" s="67">
        <v>43</v>
      </c>
      <c r="Q46" s="67">
        <v>43</v>
      </c>
      <c r="R46" s="67">
        <v>43</v>
      </c>
      <c r="S46" s="67">
        <v>43</v>
      </c>
      <c r="T46" s="67">
        <v>43</v>
      </c>
      <c r="U46" s="67">
        <v>43</v>
      </c>
      <c r="V46" s="67">
        <v>43</v>
      </c>
      <c r="W46" s="67">
        <v>43</v>
      </c>
      <c r="X46" s="67">
        <v>43</v>
      </c>
      <c r="Y46" s="67">
        <v>43</v>
      </c>
      <c r="Z46" s="67">
        <v>43</v>
      </c>
      <c r="AA46" s="5"/>
      <c r="AB46" s="67">
        <v>43</v>
      </c>
      <c r="AC46" s="5"/>
      <c r="AD46" s="5"/>
      <c r="AE46" s="67" t="s">
        <v>133</v>
      </c>
      <c r="AF46" s="67" t="s">
        <v>133</v>
      </c>
      <c r="AG46" s="67">
        <v>7</v>
      </c>
      <c r="AH46" s="67">
        <v>7</v>
      </c>
      <c r="AI46" s="67">
        <v>7</v>
      </c>
      <c r="AJ46" s="67">
        <v>7</v>
      </c>
      <c r="AK46" s="67">
        <v>7</v>
      </c>
      <c r="AL46" s="67">
        <v>7</v>
      </c>
      <c r="AN46" s="67">
        <v>43</v>
      </c>
      <c r="AO46" s="67">
        <v>43</v>
      </c>
      <c r="AMN46" s="1"/>
    </row>
    <row r="47" spans="1:41 1028:1028" ht="22.7" customHeight="1">
      <c r="A47" s="66"/>
      <c r="B47" s="66"/>
      <c r="C47" s="108">
        <v>20</v>
      </c>
      <c r="D47" s="108"/>
      <c r="E47" s="91">
        <v>20</v>
      </c>
      <c r="F47" s="69"/>
      <c r="G47" s="69">
        <v>5</v>
      </c>
      <c r="H47" s="5"/>
      <c r="I47" s="69"/>
      <c r="J47" s="5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5"/>
      <c r="AB47" s="69"/>
      <c r="AC47" s="5"/>
      <c r="AD47" s="5"/>
      <c r="AE47" s="69"/>
      <c r="AF47" s="69"/>
      <c r="AG47" s="69"/>
      <c r="AH47" s="69"/>
      <c r="AI47" s="69"/>
      <c r="AJ47" s="69"/>
      <c r="AK47" s="69"/>
      <c r="AL47" s="69"/>
      <c r="AN47" s="69"/>
      <c r="AO47" s="69"/>
      <c r="AMN47" s="1"/>
    </row>
    <row r="48" spans="1:41 1028:1028" ht="22.7" customHeight="1">
      <c r="A48" s="68">
        <f>SUM(C48:Y48)</f>
        <v>1115</v>
      </c>
      <c r="B48" s="66"/>
      <c r="C48" s="92">
        <v>45</v>
      </c>
      <c r="D48" s="109"/>
      <c r="E48" s="69"/>
      <c r="F48" s="69">
        <v>523</v>
      </c>
      <c r="G48" s="5"/>
      <c r="H48" s="69">
        <v>31</v>
      </c>
      <c r="I48" s="5"/>
      <c r="J48" s="69">
        <v>39</v>
      </c>
      <c r="K48" s="69">
        <v>24</v>
      </c>
      <c r="L48" s="69">
        <v>30</v>
      </c>
      <c r="M48" s="69">
        <v>19</v>
      </c>
      <c r="N48" s="69">
        <v>35</v>
      </c>
      <c r="O48" s="69">
        <v>49</v>
      </c>
      <c r="P48" s="69">
        <v>41</v>
      </c>
      <c r="Q48" s="69">
        <v>28</v>
      </c>
      <c r="R48" s="69">
        <v>26</v>
      </c>
      <c r="S48" s="69">
        <v>32</v>
      </c>
      <c r="T48" s="69">
        <v>12</v>
      </c>
      <c r="U48" s="69">
        <v>57</v>
      </c>
      <c r="V48" s="69">
        <v>18</v>
      </c>
      <c r="W48" s="69">
        <v>63</v>
      </c>
      <c r="X48" s="69">
        <v>22</v>
      </c>
      <c r="Y48" s="69">
        <v>21</v>
      </c>
      <c r="Z48" s="5"/>
      <c r="AA48" s="69">
        <v>175</v>
      </c>
      <c r="AB48" s="5"/>
      <c r="AC48" s="5"/>
      <c r="AD48" s="69">
        <v>58</v>
      </c>
      <c r="AE48" s="69">
        <v>68</v>
      </c>
      <c r="AF48" s="69">
        <v>5</v>
      </c>
      <c r="AG48" s="69">
        <v>30</v>
      </c>
      <c r="AH48" s="69">
        <v>30</v>
      </c>
      <c r="AI48" s="69">
        <v>30</v>
      </c>
      <c r="AJ48" s="69">
        <v>30</v>
      </c>
      <c r="AK48" s="69">
        <v>30</v>
      </c>
      <c r="AM48" s="69">
        <v>523</v>
      </c>
      <c r="AN48" s="69">
        <v>44</v>
      </c>
    </row>
    <row r="49" spans="1:40" ht="22.7" customHeight="1">
      <c r="A49" s="70">
        <f>SUM(C49:Y49)</f>
        <v>290965</v>
      </c>
      <c r="B49" s="66"/>
      <c r="C49" s="93">
        <v>15</v>
      </c>
      <c r="D49" s="109"/>
      <c r="E49" s="70"/>
      <c r="F49" s="70">
        <v>12866</v>
      </c>
      <c r="G49" s="5"/>
      <c r="H49" s="70">
        <v>9945</v>
      </c>
      <c r="I49" s="5"/>
      <c r="J49" s="70">
        <v>32262</v>
      </c>
      <c r="K49" s="70">
        <v>16917</v>
      </c>
      <c r="L49" s="70">
        <v>13703</v>
      </c>
      <c r="M49" s="70">
        <v>11408</v>
      </c>
      <c r="N49" s="70">
        <v>18265</v>
      </c>
      <c r="O49" s="70">
        <v>20901</v>
      </c>
      <c r="P49" s="70">
        <v>22398</v>
      </c>
      <c r="Q49" s="70">
        <v>17574</v>
      </c>
      <c r="R49" s="70">
        <v>13499</v>
      </c>
      <c r="S49" s="70">
        <v>27211</v>
      </c>
      <c r="T49" s="70">
        <v>5305</v>
      </c>
      <c r="U49" s="70">
        <v>25083</v>
      </c>
      <c r="V49" s="70">
        <v>10206</v>
      </c>
      <c r="W49" s="70">
        <v>17136</v>
      </c>
      <c r="X49" s="70">
        <v>7906</v>
      </c>
      <c r="Y49" s="70">
        <v>8365</v>
      </c>
      <c r="Z49" s="5"/>
      <c r="AA49" s="70">
        <v>22974</v>
      </c>
      <c r="AB49" s="5"/>
      <c r="AC49" s="5"/>
      <c r="AD49" s="70">
        <v>1859</v>
      </c>
      <c r="AE49" s="70">
        <v>2187</v>
      </c>
      <c r="AF49" s="70">
        <v>754</v>
      </c>
      <c r="AG49" s="70">
        <v>4594</v>
      </c>
      <c r="AH49" s="70">
        <v>1988</v>
      </c>
      <c r="AI49" s="70">
        <v>6823</v>
      </c>
      <c r="AJ49" s="70">
        <v>608</v>
      </c>
      <c r="AK49" s="70">
        <v>4931</v>
      </c>
      <c r="AM49" s="70">
        <v>12866</v>
      </c>
      <c r="AN49" s="70">
        <v>15110</v>
      </c>
    </row>
    <row r="50" spans="1:40" ht="49.35" customHeight="1">
      <c r="C50" s="94">
        <v>7963</v>
      </c>
      <c r="D50" s="110"/>
      <c r="E50" s="11"/>
      <c r="F50" s="11">
        <v>44101</v>
      </c>
      <c r="G50" s="5"/>
      <c r="H50" s="11">
        <v>44101</v>
      </c>
      <c r="I50" s="5"/>
      <c r="J50" s="11">
        <v>44061</v>
      </c>
      <c r="K50" s="11">
        <v>44076</v>
      </c>
      <c r="L50" s="11">
        <v>44074</v>
      </c>
      <c r="M50" s="11">
        <v>44061</v>
      </c>
      <c r="N50" s="11">
        <v>44061</v>
      </c>
      <c r="O50" s="11">
        <v>44074</v>
      </c>
      <c r="P50" s="11">
        <v>44074</v>
      </c>
      <c r="Q50" s="11">
        <v>44081</v>
      </c>
      <c r="R50" s="11">
        <v>44081</v>
      </c>
      <c r="S50" s="11">
        <v>44074</v>
      </c>
      <c r="T50" s="11">
        <v>44081</v>
      </c>
      <c r="U50" s="11">
        <v>44074</v>
      </c>
      <c r="V50" s="11">
        <v>44074</v>
      </c>
      <c r="W50" s="11">
        <v>44092</v>
      </c>
      <c r="X50" s="11">
        <v>44093</v>
      </c>
      <c r="Y50" s="11">
        <v>44094</v>
      </c>
      <c r="Z50" s="5"/>
      <c r="AA50" s="71">
        <v>44074</v>
      </c>
      <c r="AB50" s="5"/>
      <c r="AC50" s="5"/>
      <c r="AD50" s="11">
        <v>44095</v>
      </c>
      <c r="AE50" s="11">
        <v>44095</v>
      </c>
      <c r="AF50" s="11">
        <v>44100</v>
      </c>
      <c r="AG50" s="11">
        <v>44100</v>
      </c>
      <c r="AH50" s="11">
        <v>44100</v>
      </c>
      <c r="AI50" s="11">
        <v>44100</v>
      </c>
      <c r="AJ50" s="11">
        <v>44100</v>
      </c>
      <c r="AK50" s="11">
        <v>44100</v>
      </c>
      <c r="AM50" s="11">
        <v>44101</v>
      </c>
      <c r="AN50" s="11">
        <v>44102</v>
      </c>
    </row>
    <row r="51" spans="1:40" ht="28.15" customHeight="1">
      <c r="C51" s="95">
        <v>0</v>
      </c>
      <c r="D51" s="109"/>
      <c r="E51" s="72"/>
      <c r="F51" s="72"/>
      <c r="G51" s="5"/>
      <c r="H51" s="73"/>
      <c r="I51" s="5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2"/>
      <c r="X51" s="72"/>
      <c r="Y51" s="72"/>
      <c r="Z51" s="5"/>
      <c r="AA51" s="74"/>
      <c r="AB51" s="5"/>
      <c r="AC51" s="5"/>
      <c r="AD51" s="75"/>
      <c r="AE51" s="75"/>
      <c r="AF51" s="72"/>
      <c r="AG51" s="72"/>
      <c r="AH51" s="72"/>
      <c r="AI51" s="72"/>
      <c r="AJ51" s="72"/>
      <c r="AK51" s="72"/>
      <c r="AM51" s="72"/>
      <c r="AN51" s="72"/>
    </row>
    <row r="52" spans="1:40" ht="32.65" customHeight="1" thickBot="1">
      <c r="A52" s="70">
        <f>+A49/A48</f>
        <v>260.95515695067263</v>
      </c>
      <c r="C52" s="96">
        <v>44112</v>
      </c>
      <c r="D52" s="111"/>
      <c r="E52" s="70"/>
      <c r="F52" s="70">
        <f>+F49/F48</f>
        <v>24.600382409177822</v>
      </c>
      <c r="G52" s="5"/>
      <c r="H52" s="70">
        <f>+H49/H48</f>
        <v>320.80645161290323</v>
      </c>
      <c r="I52" s="5"/>
      <c r="J52" s="70">
        <f t="shared" ref="J52:Y52" si="0">+J49/J48</f>
        <v>827.23076923076928</v>
      </c>
      <c r="K52" s="70">
        <f t="shared" si="0"/>
        <v>704.875</v>
      </c>
      <c r="L52" s="70">
        <f t="shared" si="0"/>
        <v>456.76666666666665</v>
      </c>
      <c r="M52" s="70">
        <f t="shared" si="0"/>
        <v>600.42105263157896</v>
      </c>
      <c r="N52" s="70">
        <f t="shared" si="0"/>
        <v>521.85714285714289</v>
      </c>
      <c r="O52" s="70">
        <f t="shared" si="0"/>
        <v>426.55102040816325</v>
      </c>
      <c r="P52" s="70">
        <f t="shared" si="0"/>
        <v>546.29268292682923</v>
      </c>
      <c r="Q52" s="70">
        <f t="shared" si="0"/>
        <v>627.64285714285711</v>
      </c>
      <c r="R52" s="70">
        <f t="shared" si="0"/>
        <v>519.19230769230774</v>
      </c>
      <c r="S52" s="70">
        <f t="shared" si="0"/>
        <v>850.34375</v>
      </c>
      <c r="T52" s="70">
        <f t="shared" si="0"/>
        <v>442.08333333333331</v>
      </c>
      <c r="U52" s="70">
        <f t="shared" si="0"/>
        <v>440.05263157894734</v>
      </c>
      <c r="V52" s="70">
        <f t="shared" si="0"/>
        <v>567</v>
      </c>
      <c r="W52" s="70">
        <f t="shared" si="0"/>
        <v>272</v>
      </c>
      <c r="X52" s="70">
        <f t="shared" si="0"/>
        <v>359.36363636363637</v>
      </c>
      <c r="Y52" s="70">
        <f t="shared" si="0"/>
        <v>398.33333333333331</v>
      </c>
      <c r="Z52" s="5"/>
      <c r="AA52" s="70">
        <f>+AA49/AA48</f>
        <v>131.28</v>
      </c>
      <c r="AB52" s="5"/>
      <c r="AC52" s="5"/>
      <c r="AD52" s="70">
        <f t="shared" ref="AD52:AK52" si="1">+AD49/AD48</f>
        <v>32.051724137931032</v>
      </c>
      <c r="AE52" s="70">
        <f t="shared" si="1"/>
        <v>32.161764705882355</v>
      </c>
      <c r="AF52" s="70">
        <f t="shared" si="1"/>
        <v>150.80000000000001</v>
      </c>
      <c r="AG52" s="70">
        <f t="shared" si="1"/>
        <v>153.13333333333333</v>
      </c>
      <c r="AH52" s="70">
        <f t="shared" si="1"/>
        <v>66.266666666666666</v>
      </c>
      <c r="AI52" s="70">
        <f t="shared" si="1"/>
        <v>227.43333333333334</v>
      </c>
      <c r="AJ52" s="70">
        <f t="shared" si="1"/>
        <v>20.266666666666666</v>
      </c>
      <c r="AK52" s="70">
        <f t="shared" si="1"/>
        <v>164.36666666666667</v>
      </c>
      <c r="AM52" s="70">
        <f>+AM49/AM48</f>
        <v>24.600382409177822</v>
      </c>
      <c r="AN52" s="70">
        <f>+AN49/AN48</f>
        <v>343.40909090909093</v>
      </c>
    </row>
    <row r="53" spans="1:40" ht="46.15" customHeight="1" thickBot="1">
      <c r="C53" s="97" t="str">
        <f>+E2</f>
        <v>E07_2H4AC</v>
      </c>
      <c r="D53" s="112"/>
      <c r="E53" s="76"/>
      <c r="F53" s="76" t="str">
        <f>+G2</f>
        <v>A02_2002_bis</v>
      </c>
      <c r="G53" s="5"/>
      <c r="H53" s="9" t="str">
        <f>+I2</f>
        <v>DAX_2H4A0</v>
      </c>
      <c r="I53" s="5"/>
      <c r="J53" s="9" t="str">
        <f t="shared" ref="J53:Y53" si="2">+K2</f>
        <v>C03_2002</v>
      </c>
      <c r="K53" s="9" t="str">
        <f t="shared" si="2"/>
        <v>E01_3003</v>
      </c>
      <c r="L53" s="9" t="str">
        <f t="shared" si="2"/>
        <v>E03_2001</v>
      </c>
      <c r="M53" s="9" t="str">
        <f t="shared" si="2"/>
        <v>EUR GBP 4H_210</v>
      </c>
      <c r="N53" s="9" t="str">
        <f t="shared" si="2"/>
        <v>EUR JPY 4H_210</v>
      </c>
      <c r="O53" s="9" t="str">
        <f t="shared" si="2"/>
        <v>EUR USD 4H_210</v>
      </c>
      <c r="P53" s="9" t="str">
        <f t="shared" si="2"/>
        <v>GBP AUD 4H_202§</v>
      </c>
      <c r="Q53" s="9" t="str">
        <f t="shared" si="2"/>
        <v>G02_2002</v>
      </c>
      <c r="R53" s="9" t="str">
        <f t="shared" si="2"/>
        <v>G03_2001</v>
      </c>
      <c r="S53" s="9" t="str">
        <f t="shared" si="2"/>
        <v>GBP JPY 4H_213</v>
      </c>
      <c r="T53" s="9" t="str">
        <f t="shared" si="2"/>
        <v>G05_2002</v>
      </c>
      <c r="U53" s="9" t="str">
        <f t="shared" si="2"/>
        <v>USD CAD 4H_210</v>
      </c>
      <c r="V53" s="9" t="str">
        <f t="shared" si="2"/>
        <v>USD JPY 4H_211</v>
      </c>
      <c r="W53" s="76" t="str">
        <f t="shared" si="2"/>
        <v>G06_2000</v>
      </c>
      <c r="X53" s="76" t="str">
        <f t="shared" si="2"/>
        <v>N01_2002</v>
      </c>
      <c r="Y53" s="76" t="str">
        <f t="shared" si="2"/>
        <v>N05_2001</v>
      </c>
      <c r="Z53" s="5"/>
      <c r="AA53" s="76" t="str">
        <f>+AB2</f>
        <v>U03_2003</v>
      </c>
      <c r="AB53" s="5"/>
      <c r="AC53" s="5"/>
      <c r="AD53" s="76" t="str">
        <f t="shared" ref="AD53:AK53" si="3">+AE2</f>
        <v>G06_15A1</v>
      </c>
      <c r="AE53" s="76" t="str">
        <f t="shared" si="3"/>
        <v>G06_15A3</v>
      </c>
      <c r="AF53" s="76" t="str">
        <f t="shared" si="3"/>
        <v>G06_25A1</v>
      </c>
      <c r="AG53" s="76" t="str">
        <f t="shared" si="3"/>
        <v>G06_25A2</v>
      </c>
      <c r="AH53" s="76" t="str">
        <f t="shared" si="3"/>
        <v>G06_25A3</v>
      </c>
      <c r="AI53" s="76" t="str">
        <f t="shared" si="3"/>
        <v>G06_25A4</v>
      </c>
      <c r="AJ53" s="76" t="str">
        <f t="shared" si="3"/>
        <v>G06_25A5</v>
      </c>
      <c r="AK53" s="76" t="str">
        <f t="shared" si="3"/>
        <v>G06_25A6</v>
      </c>
      <c r="AM53" s="76" t="str">
        <f>+AN2</f>
        <v>G06_2M30A</v>
      </c>
      <c r="AN53" s="76" t="str">
        <f>+AO2</f>
        <v>G06_2H40B</v>
      </c>
    </row>
    <row r="54" spans="1:40" ht="30.4" customHeight="1" thickBot="1">
      <c r="C54" s="82" t="str">
        <f>+E3</f>
        <v>EURGBP</v>
      </c>
      <c r="D54" s="113"/>
      <c r="E54" s="77"/>
      <c r="F54" s="77" t="e">
        <f>+C54+1</f>
        <v>#VALUE!</v>
      </c>
      <c r="G54" s="5"/>
      <c r="H54" s="77">
        <f>+G54+1</f>
        <v>1</v>
      </c>
      <c r="I54" s="5"/>
      <c r="J54" s="77">
        <f t="shared" ref="J54:Y54" si="4">+I54+1</f>
        <v>1</v>
      </c>
      <c r="K54" s="77">
        <f t="shared" si="4"/>
        <v>2</v>
      </c>
      <c r="L54" s="77">
        <f t="shared" si="4"/>
        <v>3</v>
      </c>
      <c r="M54" s="77">
        <f t="shared" si="4"/>
        <v>4</v>
      </c>
      <c r="N54" s="77">
        <f t="shared" si="4"/>
        <v>5</v>
      </c>
      <c r="O54" s="77">
        <f t="shared" si="4"/>
        <v>6</v>
      </c>
      <c r="P54" s="77">
        <f t="shared" si="4"/>
        <v>7</v>
      </c>
      <c r="Q54" s="77">
        <f t="shared" si="4"/>
        <v>8</v>
      </c>
      <c r="R54" s="77">
        <f t="shared" si="4"/>
        <v>9</v>
      </c>
      <c r="S54" s="77">
        <f t="shared" si="4"/>
        <v>10</v>
      </c>
      <c r="T54" s="77">
        <f t="shared" si="4"/>
        <v>11</v>
      </c>
      <c r="U54" s="77">
        <f t="shared" si="4"/>
        <v>12</v>
      </c>
      <c r="V54" s="77">
        <f t="shared" si="4"/>
        <v>13</v>
      </c>
      <c r="W54" s="77">
        <f t="shared" si="4"/>
        <v>14</v>
      </c>
      <c r="X54" s="77">
        <f t="shared" si="4"/>
        <v>15</v>
      </c>
      <c r="Y54" s="77">
        <f t="shared" si="4"/>
        <v>16</v>
      </c>
      <c r="Z54" s="5"/>
      <c r="AA54" s="77">
        <f>+Z54+1</f>
        <v>1</v>
      </c>
      <c r="AB54" s="5"/>
      <c r="AC54" s="5"/>
      <c r="AD54" s="77">
        <f t="shared" ref="AD54:AK54" si="5">+AC54+1</f>
        <v>1</v>
      </c>
      <c r="AE54" s="77">
        <f t="shared" si="5"/>
        <v>2</v>
      </c>
      <c r="AF54" s="77">
        <f t="shared" si="5"/>
        <v>3</v>
      </c>
      <c r="AG54" s="77">
        <f t="shared" si="5"/>
        <v>4</v>
      </c>
      <c r="AH54" s="77">
        <f t="shared" si="5"/>
        <v>5</v>
      </c>
      <c r="AI54" s="77">
        <f t="shared" si="5"/>
        <v>6</v>
      </c>
      <c r="AJ54" s="77">
        <f t="shared" si="5"/>
        <v>7</v>
      </c>
      <c r="AK54" s="77">
        <f t="shared" si="5"/>
        <v>8</v>
      </c>
      <c r="AM54" s="77">
        <f>+AL54+1</f>
        <v>1</v>
      </c>
      <c r="AN54" s="77">
        <f>+AM54+1</f>
        <v>2</v>
      </c>
    </row>
    <row r="55" spans="1:40" ht="14.1" customHeight="1">
      <c r="A55" s="1" t="s">
        <v>134</v>
      </c>
      <c r="C55" s="98">
        <f>+C50/C49</f>
        <v>530.86666666666667</v>
      </c>
      <c r="D55" s="109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Z55" s="5"/>
      <c r="AA55" s="5"/>
      <c r="AB55" s="5"/>
      <c r="AC55" s="5"/>
    </row>
    <row r="56" spans="1:40"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Z56" s="5"/>
      <c r="AA56" s="5"/>
    </row>
    <row r="57" spans="1:40"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Z57" s="5"/>
      <c r="AA57" s="5"/>
    </row>
    <row r="58" spans="1:40"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Z58" s="5"/>
      <c r="AA58" s="5"/>
    </row>
    <row r="59" spans="1:40"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Z59" s="5"/>
      <c r="AA59" s="5"/>
    </row>
    <row r="60" spans="1:40"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Z60" s="5"/>
      <c r="AA60" s="5"/>
    </row>
    <row r="61" spans="1:40" ht="15.75" thickBot="1"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Z61" s="5"/>
      <c r="AA61" s="5"/>
    </row>
    <row r="62" spans="1:40" ht="47.25" thickBot="1">
      <c r="E62" s="8"/>
      <c r="F62" s="8" t="s">
        <v>3</v>
      </c>
      <c r="G62" s="8" t="s">
        <v>135</v>
      </c>
      <c r="H62" s="8" t="s">
        <v>136</v>
      </c>
      <c r="I62" s="8" t="s">
        <v>137</v>
      </c>
      <c r="J62" s="8" t="s">
        <v>5</v>
      </c>
      <c r="K62" s="9" t="s">
        <v>6</v>
      </c>
      <c r="L62" s="9" t="s">
        <v>7</v>
      </c>
      <c r="M62" s="10" t="s">
        <v>8</v>
      </c>
      <c r="N62" s="10" t="s">
        <v>9</v>
      </c>
      <c r="O62" s="10" t="s">
        <v>10</v>
      </c>
      <c r="P62" s="10" t="s">
        <v>11</v>
      </c>
      <c r="Q62" s="9" t="s">
        <v>12</v>
      </c>
      <c r="R62" s="9" t="s">
        <v>13</v>
      </c>
      <c r="S62" s="10" t="s">
        <v>14</v>
      </c>
      <c r="T62" s="9" t="s">
        <v>15</v>
      </c>
      <c r="U62" s="10" t="s">
        <v>16</v>
      </c>
      <c r="V62" s="10" t="s">
        <v>17</v>
      </c>
      <c r="W62" s="9" t="s">
        <v>18</v>
      </c>
      <c r="X62" s="9" t="s">
        <v>19</v>
      </c>
      <c r="Y62" s="9" t="s">
        <v>20</v>
      </c>
    </row>
    <row r="63" spans="1:40" ht="18.75">
      <c r="E63" s="13"/>
      <c r="F63" s="13" t="s">
        <v>34</v>
      </c>
      <c r="G63" s="13" t="s">
        <v>138</v>
      </c>
      <c r="H63" s="13" t="s">
        <v>139</v>
      </c>
      <c r="I63" s="13" t="s">
        <v>140</v>
      </c>
      <c r="J63" s="15" t="s">
        <v>37</v>
      </c>
      <c r="K63" s="13" t="s">
        <v>38</v>
      </c>
      <c r="L63" s="13" t="s">
        <v>39</v>
      </c>
      <c r="M63" s="13" t="s">
        <v>40</v>
      </c>
      <c r="N63" s="13" t="s">
        <v>41</v>
      </c>
      <c r="O63" s="13" t="s">
        <v>42</v>
      </c>
      <c r="P63" s="13" t="s">
        <v>43</v>
      </c>
      <c r="Q63" s="13" t="s">
        <v>44</v>
      </c>
      <c r="R63" s="13" t="s">
        <v>45</v>
      </c>
      <c r="S63" s="16" t="s">
        <v>46</v>
      </c>
      <c r="T63" s="13" t="s">
        <v>47</v>
      </c>
      <c r="U63" s="13" t="s">
        <v>48</v>
      </c>
      <c r="V63" s="13" t="s">
        <v>49</v>
      </c>
      <c r="W63" s="13" t="s">
        <v>50</v>
      </c>
      <c r="X63" s="13" t="s">
        <v>51</v>
      </c>
      <c r="Y63" s="13" t="s">
        <v>52</v>
      </c>
    </row>
    <row r="64" spans="1:40" ht="36.75" thickBot="1">
      <c r="E64" s="14"/>
      <c r="F64" s="14" t="s">
        <v>56</v>
      </c>
      <c r="G64" s="14" t="s">
        <v>56</v>
      </c>
      <c r="H64" s="14" t="s">
        <v>56</v>
      </c>
      <c r="I64" s="14" t="s">
        <v>56</v>
      </c>
      <c r="J64" s="14" t="s">
        <v>56</v>
      </c>
      <c r="K64" s="18" t="s">
        <v>58</v>
      </c>
      <c r="L64" s="14" t="s">
        <v>56</v>
      </c>
      <c r="M64" s="14" t="s">
        <v>56</v>
      </c>
      <c r="N64" s="14" t="s">
        <v>56</v>
      </c>
      <c r="O64" s="14" t="s">
        <v>56</v>
      </c>
      <c r="P64" s="14" t="s">
        <v>56</v>
      </c>
      <c r="Q64" s="14" t="s">
        <v>56</v>
      </c>
      <c r="R64" s="14" t="s">
        <v>56</v>
      </c>
      <c r="S64" s="14" t="s">
        <v>56</v>
      </c>
      <c r="T64" s="14" t="s">
        <v>56</v>
      </c>
      <c r="U64" s="14" t="s">
        <v>56</v>
      </c>
      <c r="V64" s="14" t="s">
        <v>56</v>
      </c>
      <c r="W64" s="14" t="s">
        <v>56</v>
      </c>
      <c r="X64" s="14" t="s">
        <v>56</v>
      </c>
      <c r="Y64" s="14" t="s">
        <v>56</v>
      </c>
    </row>
    <row r="65" spans="5:25" ht="24" thickBot="1">
      <c r="E65" s="19"/>
      <c r="F65" s="19">
        <v>0.32400000000000001</v>
      </c>
      <c r="G65" s="19">
        <v>0.32400000000000001</v>
      </c>
      <c r="H65" s="19">
        <v>0.32400000000000001</v>
      </c>
      <c r="I65" s="19">
        <v>0.32400000000000001</v>
      </c>
      <c r="J65" s="19">
        <v>0.30599999999999999</v>
      </c>
      <c r="K65" s="21">
        <v>0.2</v>
      </c>
      <c r="L65" s="21">
        <v>0.2</v>
      </c>
      <c r="M65" s="19">
        <v>0.2</v>
      </c>
      <c r="N65" s="19">
        <v>0.2</v>
      </c>
      <c r="O65" s="19">
        <v>0.2</v>
      </c>
      <c r="P65" s="19">
        <v>0.17899999999999999</v>
      </c>
      <c r="Q65" s="21">
        <v>0.17899999999999999</v>
      </c>
      <c r="R65" s="21">
        <v>0.17899999999999999</v>
      </c>
      <c r="S65" s="21">
        <v>0.17899999999999999</v>
      </c>
      <c r="T65" s="21">
        <v>0.17899999999999999</v>
      </c>
      <c r="U65" s="19">
        <v>0.22700000000000001</v>
      </c>
      <c r="V65" s="21">
        <v>0.22700000000000001</v>
      </c>
      <c r="W65" s="21">
        <v>0.17899999999999999</v>
      </c>
      <c r="X65" s="21">
        <v>0.34399999999999997</v>
      </c>
      <c r="Y65" s="21">
        <v>0.34399999999999997</v>
      </c>
    </row>
    <row r="66" spans="5:25" ht="19.5" thickBot="1">
      <c r="E66" s="14"/>
      <c r="F66" s="14">
        <v>2</v>
      </c>
      <c r="G66" s="14">
        <v>2</v>
      </c>
      <c r="H66" s="14">
        <v>2</v>
      </c>
      <c r="I66" s="14">
        <v>2</v>
      </c>
      <c r="J66" s="14">
        <v>2</v>
      </c>
      <c r="K66" s="13">
        <v>3</v>
      </c>
      <c r="L66" s="13">
        <v>2</v>
      </c>
      <c r="M66" s="13">
        <v>2</v>
      </c>
      <c r="N66" s="13">
        <v>2</v>
      </c>
      <c r="O66" s="13">
        <v>2</v>
      </c>
      <c r="P66" s="13">
        <v>2</v>
      </c>
      <c r="Q66" s="13">
        <v>2</v>
      </c>
      <c r="R66" s="13">
        <v>2</v>
      </c>
      <c r="S66" s="16">
        <v>2</v>
      </c>
      <c r="T66" s="13">
        <v>2</v>
      </c>
      <c r="U66" s="13">
        <v>2</v>
      </c>
      <c r="V66" s="13">
        <v>2</v>
      </c>
      <c r="W66" s="13">
        <v>2</v>
      </c>
      <c r="X66" s="13">
        <v>2</v>
      </c>
      <c r="Y66" s="13">
        <v>2</v>
      </c>
    </row>
    <row r="67" spans="5:25" ht="18.75">
      <c r="E67" s="24"/>
      <c r="F67" s="24">
        <v>10</v>
      </c>
      <c r="G67" s="24">
        <v>20</v>
      </c>
      <c r="H67" s="24">
        <v>20</v>
      </c>
      <c r="I67" s="24">
        <v>10</v>
      </c>
      <c r="J67" s="24">
        <v>25</v>
      </c>
      <c r="K67" s="25">
        <v>20</v>
      </c>
      <c r="L67" s="25">
        <v>10</v>
      </c>
      <c r="M67" s="25">
        <v>10</v>
      </c>
      <c r="N67" s="25">
        <v>30</v>
      </c>
      <c r="O67" s="25">
        <v>10</v>
      </c>
      <c r="P67" s="25">
        <v>20</v>
      </c>
      <c r="Q67" s="25">
        <v>15</v>
      </c>
      <c r="R67" s="25">
        <v>20</v>
      </c>
      <c r="S67" s="26">
        <v>20</v>
      </c>
      <c r="T67" s="25">
        <v>20</v>
      </c>
      <c r="U67" s="25">
        <v>10</v>
      </c>
      <c r="V67" s="25">
        <v>15</v>
      </c>
      <c r="W67" s="25">
        <v>10</v>
      </c>
      <c r="X67" s="25">
        <v>10</v>
      </c>
      <c r="Y67" s="25">
        <v>10</v>
      </c>
    </row>
    <row r="68" spans="5:25" ht="18.75">
      <c r="E68" s="14"/>
      <c r="F68" s="14">
        <v>100</v>
      </c>
      <c r="G68" s="14">
        <v>98</v>
      </c>
      <c r="H68" s="14">
        <v>99</v>
      </c>
      <c r="I68" s="14">
        <v>95</v>
      </c>
      <c r="J68" s="14">
        <v>98</v>
      </c>
      <c r="K68" s="13">
        <v>99</v>
      </c>
      <c r="L68" s="13">
        <v>95</v>
      </c>
      <c r="M68" s="13">
        <v>100</v>
      </c>
      <c r="N68" s="13">
        <v>98</v>
      </c>
      <c r="O68" s="13">
        <v>99</v>
      </c>
      <c r="P68" s="13">
        <v>99</v>
      </c>
      <c r="Q68" s="13">
        <v>99</v>
      </c>
      <c r="R68" s="13">
        <v>99</v>
      </c>
      <c r="S68" s="16">
        <v>95</v>
      </c>
      <c r="T68" s="13">
        <v>99</v>
      </c>
      <c r="U68" s="13">
        <v>95</v>
      </c>
      <c r="V68" s="13">
        <v>99</v>
      </c>
      <c r="W68" s="13">
        <v>99</v>
      </c>
      <c r="X68" s="13">
        <v>99</v>
      </c>
      <c r="Y68" s="13">
        <v>99</v>
      </c>
    </row>
    <row r="69" spans="5:25" ht="18.75">
      <c r="E69" s="14"/>
      <c r="F69" s="14">
        <v>10</v>
      </c>
      <c r="G69" s="14">
        <v>10</v>
      </c>
      <c r="H69" s="14">
        <v>6</v>
      </c>
      <c r="I69" s="14">
        <v>5</v>
      </c>
      <c r="J69" s="14">
        <v>6</v>
      </c>
      <c r="K69" s="13">
        <v>10</v>
      </c>
      <c r="L69" s="13">
        <v>10</v>
      </c>
      <c r="M69" s="13">
        <v>12</v>
      </c>
      <c r="N69" s="13">
        <v>16</v>
      </c>
      <c r="O69" s="13">
        <v>10</v>
      </c>
      <c r="P69" s="13">
        <v>7</v>
      </c>
      <c r="Q69" s="13">
        <v>10</v>
      </c>
      <c r="R69" s="13">
        <v>10</v>
      </c>
      <c r="S69" s="16">
        <v>16</v>
      </c>
      <c r="T69" s="13">
        <v>10</v>
      </c>
      <c r="U69" s="13">
        <v>10</v>
      </c>
      <c r="V69" s="13">
        <v>10</v>
      </c>
      <c r="W69" s="13">
        <v>10</v>
      </c>
      <c r="X69" s="13">
        <v>10</v>
      </c>
      <c r="Y69" s="13">
        <v>10</v>
      </c>
    </row>
    <row r="70" spans="5:25" ht="18.75">
      <c r="E70" s="14"/>
      <c r="F70" s="14">
        <v>200</v>
      </c>
      <c r="G70" s="14">
        <v>200</v>
      </c>
      <c r="H70" s="14">
        <v>200</v>
      </c>
      <c r="I70" s="14">
        <v>500</v>
      </c>
      <c r="J70" s="14">
        <v>500</v>
      </c>
      <c r="K70" s="13">
        <v>200</v>
      </c>
      <c r="L70" s="13">
        <v>200</v>
      </c>
      <c r="M70" s="13">
        <v>200</v>
      </c>
      <c r="N70" s="13">
        <v>500</v>
      </c>
      <c r="O70" s="13">
        <v>100</v>
      </c>
      <c r="P70" s="13">
        <v>200</v>
      </c>
      <c r="Q70" s="13">
        <v>200</v>
      </c>
      <c r="R70" s="13">
        <v>200</v>
      </c>
      <c r="S70" s="16">
        <v>500</v>
      </c>
      <c r="T70" s="13">
        <v>200</v>
      </c>
      <c r="U70" s="13">
        <v>200</v>
      </c>
      <c r="V70" s="13">
        <v>200</v>
      </c>
      <c r="W70" s="13">
        <v>200</v>
      </c>
      <c r="X70" s="13">
        <v>200</v>
      </c>
      <c r="Y70" s="13">
        <v>200</v>
      </c>
    </row>
    <row r="71" spans="5:25" ht="18.75">
      <c r="E71" s="14"/>
      <c r="F71" s="14">
        <v>5</v>
      </c>
      <c r="G71" s="14">
        <v>10</v>
      </c>
      <c r="H71" s="14">
        <v>8</v>
      </c>
      <c r="I71" s="14">
        <v>4</v>
      </c>
      <c r="J71" s="14">
        <v>15</v>
      </c>
      <c r="K71" s="13">
        <v>7</v>
      </c>
      <c r="L71" s="13">
        <v>10</v>
      </c>
      <c r="M71" s="13">
        <v>6</v>
      </c>
      <c r="N71" s="13">
        <v>6</v>
      </c>
      <c r="O71" s="13">
        <v>6</v>
      </c>
      <c r="P71" s="13">
        <v>8</v>
      </c>
      <c r="Q71" s="13">
        <v>5</v>
      </c>
      <c r="R71" s="13">
        <v>5</v>
      </c>
      <c r="S71" s="16">
        <v>10</v>
      </c>
      <c r="T71" s="13">
        <v>5</v>
      </c>
      <c r="U71" s="13">
        <v>10</v>
      </c>
      <c r="V71" s="13">
        <v>8</v>
      </c>
      <c r="W71" s="13">
        <v>4</v>
      </c>
      <c r="X71" s="13">
        <v>4</v>
      </c>
      <c r="Y71" s="13">
        <v>4</v>
      </c>
    </row>
    <row r="72" spans="5:25" ht="19.5" thickBot="1">
      <c r="E72" s="30"/>
      <c r="F72" s="30">
        <v>50</v>
      </c>
      <c r="G72" s="30">
        <v>60</v>
      </c>
      <c r="H72" s="30">
        <v>100</v>
      </c>
      <c r="I72" s="30">
        <v>200</v>
      </c>
      <c r="J72" s="30">
        <v>300</v>
      </c>
      <c r="K72" s="32">
        <v>100</v>
      </c>
      <c r="L72" s="32">
        <v>80</v>
      </c>
      <c r="M72" s="32">
        <v>100</v>
      </c>
      <c r="N72" s="32">
        <v>60</v>
      </c>
      <c r="O72" s="32">
        <v>50</v>
      </c>
      <c r="P72" s="32">
        <v>80</v>
      </c>
      <c r="Q72" s="32">
        <v>122</v>
      </c>
      <c r="R72" s="32">
        <v>80</v>
      </c>
      <c r="S72" s="33">
        <v>200</v>
      </c>
      <c r="T72" s="32">
        <v>80</v>
      </c>
      <c r="U72" s="32">
        <v>80</v>
      </c>
      <c r="V72" s="32">
        <v>100</v>
      </c>
      <c r="W72" s="32">
        <v>100</v>
      </c>
      <c r="X72" s="32">
        <v>60</v>
      </c>
      <c r="Y72" s="32">
        <v>60</v>
      </c>
    </row>
    <row r="73" spans="5:25" ht="18.75">
      <c r="E73" s="14"/>
      <c r="F73" s="14">
        <v>12</v>
      </c>
      <c r="G73" s="14">
        <v>14</v>
      </c>
      <c r="H73" s="14">
        <v>8</v>
      </c>
      <c r="I73" s="14">
        <v>17</v>
      </c>
      <c r="J73" s="14">
        <v>8</v>
      </c>
      <c r="K73" s="13">
        <v>10</v>
      </c>
      <c r="L73" s="13">
        <v>20</v>
      </c>
      <c r="M73" s="13">
        <v>10</v>
      </c>
      <c r="N73" s="13">
        <v>21</v>
      </c>
      <c r="O73" s="13">
        <v>8</v>
      </c>
      <c r="P73" s="13">
        <v>8</v>
      </c>
      <c r="Q73" s="13">
        <v>22</v>
      </c>
      <c r="R73" s="13">
        <v>13</v>
      </c>
      <c r="S73" s="16">
        <v>50</v>
      </c>
      <c r="T73" s="13">
        <v>25</v>
      </c>
      <c r="U73" s="13">
        <v>20</v>
      </c>
      <c r="V73" s="13">
        <v>25</v>
      </c>
      <c r="W73" s="13">
        <v>10</v>
      </c>
      <c r="X73" s="13">
        <v>7</v>
      </c>
      <c r="Y73" s="13">
        <v>12</v>
      </c>
    </row>
    <row r="74" spans="5:25" ht="19.5" thickBot="1">
      <c r="E74" s="14"/>
      <c r="F74" s="14">
        <v>60</v>
      </c>
      <c r="G74" s="14">
        <v>0</v>
      </c>
      <c r="H74" s="14">
        <v>100</v>
      </c>
      <c r="I74" s="14">
        <v>0</v>
      </c>
      <c r="J74" s="14">
        <v>40</v>
      </c>
      <c r="K74" s="13">
        <v>100</v>
      </c>
      <c r="L74" s="13">
        <v>100</v>
      </c>
      <c r="M74" s="13">
        <v>90</v>
      </c>
      <c r="N74" s="13">
        <v>0</v>
      </c>
      <c r="O74" s="13">
        <v>0</v>
      </c>
      <c r="P74" s="13">
        <v>100</v>
      </c>
      <c r="Q74" s="13">
        <v>30</v>
      </c>
      <c r="R74" s="13">
        <v>100</v>
      </c>
      <c r="S74" s="16">
        <v>0</v>
      </c>
      <c r="T74" s="13">
        <v>70</v>
      </c>
      <c r="U74" s="13">
        <v>100</v>
      </c>
      <c r="V74" s="13">
        <v>40</v>
      </c>
      <c r="W74" s="13">
        <v>80</v>
      </c>
      <c r="X74" s="13">
        <v>40</v>
      </c>
      <c r="Y74" s="13">
        <v>40</v>
      </c>
    </row>
    <row r="75" spans="5:25" ht="18.75">
      <c r="E75" s="24"/>
      <c r="F75" s="24">
        <v>0</v>
      </c>
      <c r="G75" s="24">
        <v>5</v>
      </c>
      <c r="H75" s="24">
        <v>10</v>
      </c>
      <c r="I75" s="24">
        <v>5</v>
      </c>
      <c r="J75" s="24">
        <v>20</v>
      </c>
      <c r="K75" s="25">
        <v>20</v>
      </c>
      <c r="L75" s="25">
        <v>0</v>
      </c>
      <c r="M75" s="25">
        <v>0</v>
      </c>
      <c r="N75" s="25">
        <v>0</v>
      </c>
      <c r="O75" s="25">
        <v>5</v>
      </c>
      <c r="P75" s="25">
        <v>5</v>
      </c>
      <c r="Q75" s="25">
        <v>8</v>
      </c>
      <c r="R75" s="25">
        <v>0</v>
      </c>
      <c r="S75" s="26">
        <v>0</v>
      </c>
      <c r="T75" s="25">
        <v>0</v>
      </c>
      <c r="U75" s="25">
        <v>0</v>
      </c>
      <c r="V75" s="25">
        <v>0</v>
      </c>
      <c r="W75" s="25">
        <v>10</v>
      </c>
      <c r="X75" s="25">
        <v>8</v>
      </c>
      <c r="Y75" s="25">
        <v>0</v>
      </c>
    </row>
    <row r="76" spans="5:25" ht="18.75">
      <c r="E76" s="14"/>
      <c r="F76" s="14">
        <v>55</v>
      </c>
      <c r="G76" s="14">
        <v>50</v>
      </c>
      <c r="H76" s="14">
        <v>20</v>
      </c>
      <c r="I76" s="14">
        <v>65</v>
      </c>
      <c r="J76" s="14">
        <v>20</v>
      </c>
      <c r="K76" s="13">
        <v>70</v>
      </c>
      <c r="L76" s="13">
        <v>60</v>
      </c>
      <c r="M76" s="13">
        <v>60</v>
      </c>
      <c r="N76" s="13">
        <v>50</v>
      </c>
      <c r="O76" s="13">
        <v>45</v>
      </c>
      <c r="P76" s="13">
        <v>50</v>
      </c>
      <c r="Q76" s="13">
        <v>50</v>
      </c>
      <c r="R76" s="13">
        <v>50</v>
      </c>
      <c r="S76" s="16">
        <v>70</v>
      </c>
      <c r="T76" s="13">
        <v>50</v>
      </c>
      <c r="U76" s="13">
        <v>60</v>
      </c>
      <c r="V76" s="13">
        <v>60</v>
      </c>
      <c r="W76" s="13">
        <v>10</v>
      </c>
      <c r="X76" s="13">
        <v>20</v>
      </c>
      <c r="Y76" s="13">
        <v>40</v>
      </c>
    </row>
    <row r="77" spans="5:25" ht="18.75">
      <c r="E77" s="14"/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6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</row>
    <row r="78" spans="5:25" ht="18.75">
      <c r="E78" s="14"/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6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</row>
    <row r="79" spans="5:25" ht="18.75">
      <c r="E79" s="14"/>
      <c r="F79" s="14">
        <v>800</v>
      </c>
      <c r="G79" s="14">
        <v>800</v>
      </c>
      <c r="H79" s="14">
        <v>800</v>
      </c>
      <c r="I79" s="14">
        <v>800</v>
      </c>
      <c r="J79" s="14">
        <v>800</v>
      </c>
      <c r="K79" s="13">
        <v>800</v>
      </c>
      <c r="L79" s="13">
        <v>800</v>
      </c>
      <c r="M79" s="13">
        <v>800</v>
      </c>
      <c r="N79" s="13">
        <v>600</v>
      </c>
      <c r="O79" s="13">
        <v>800</v>
      </c>
      <c r="P79" s="13">
        <v>800</v>
      </c>
      <c r="Q79" s="13">
        <v>800</v>
      </c>
      <c r="R79" s="13">
        <v>800</v>
      </c>
      <c r="S79" s="16">
        <v>800</v>
      </c>
      <c r="T79" s="13">
        <v>800</v>
      </c>
      <c r="U79" s="13">
        <v>800</v>
      </c>
      <c r="V79" s="13">
        <v>700</v>
      </c>
      <c r="W79" s="13">
        <v>800</v>
      </c>
      <c r="X79" s="13">
        <v>700</v>
      </c>
      <c r="Y79" s="13">
        <v>800</v>
      </c>
    </row>
    <row r="80" spans="5:25" ht="19.5" thickBot="1">
      <c r="E80" s="30"/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2">
        <v>0</v>
      </c>
      <c r="L80" s="32">
        <v>0</v>
      </c>
      <c r="M80" s="32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3">
        <v>0</v>
      </c>
      <c r="T80" s="32">
        <v>0</v>
      </c>
      <c r="U80" s="32">
        <v>0</v>
      </c>
      <c r="V80" s="32">
        <v>0</v>
      </c>
      <c r="W80" s="32">
        <v>0</v>
      </c>
      <c r="X80" s="32">
        <v>0</v>
      </c>
      <c r="Y80" s="32">
        <v>0</v>
      </c>
    </row>
    <row r="81" spans="5:25" ht="18.75">
      <c r="E81" s="14"/>
      <c r="F81" s="14">
        <v>2</v>
      </c>
      <c r="G81" s="14">
        <v>10</v>
      </c>
      <c r="H81" s="14">
        <v>4</v>
      </c>
      <c r="I81" s="14">
        <v>4</v>
      </c>
      <c r="J81" s="14">
        <v>3</v>
      </c>
      <c r="K81" s="13">
        <v>5</v>
      </c>
      <c r="L81" s="13">
        <v>5</v>
      </c>
      <c r="M81" s="13">
        <v>4</v>
      </c>
      <c r="N81" s="13">
        <v>5</v>
      </c>
      <c r="O81" s="13">
        <v>5</v>
      </c>
      <c r="P81" s="13">
        <v>7</v>
      </c>
      <c r="Q81" s="13">
        <v>3</v>
      </c>
      <c r="R81" s="13">
        <v>3</v>
      </c>
      <c r="S81" s="16">
        <v>20</v>
      </c>
      <c r="T81" s="13">
        <v>3</v>
      </c>
      <c r="U81" s="13">
        <v>5</v>
      </c>
      <c r="V81" s="13">
        <v>5</v>
      </c>
      <c r="W81" s="13">
        <v>3</v>
      </c>
      <c r="X81" s="13">
        <v>3</v>
      </c>
      <c r="Y81" s="13">
        <v>3</v>
      </c>
    </row>
    <row r="82" spans="5:25" ht="18.75">
      <c r="E82" s="14"/>
      <c r="F82" s="14">
        <v>50</v>
      </c>
      <c r="G82" s="14">
        <v>100</v>
      </c>
      <c r="H82" s="14">
        <v>100</v>
      </c>
      <c r="I82" s="14">
        <v>200</v>
      </c>
      <c r="J82" s="14">
        <v>100</v>
      </c>
      <c r="K82" s="13">
        <v>200</v>
      </c>
      <c r="L82" s="13">
        <v>200</v>
      </c>
      <c r="M82" s="13">
        <v>80</v>
      </c>
      <c r="N82" s="13">
        <v>200</v>
      </c>
      <c r="O82" s="13">
        <v>200</v>
      </c>
      <c r="P82" s="13">
        <v>120</v>
      </c>
      <c r="Q82" s="13">
        <v>200</v>
      </c>
      <c r="R82" s="13">
        <v>200</v>
      </c>
      <c r="S82" s="16">
        <v>200</v>
      </c>
      <c r="T82" s="13">
        <v>200</v>
      </c>
      <c r="U82" s="13">
        <v>200</v>
      </c>
      <c r="V82" s="13">
        <v>200</v>
      </c>
      <c r="W82" s="13">
        <v>200</v>
      </c>
      <c r="X82" s="13">
        <v>200</v>
      </c>
      <c r="Y82" s="13">
        <v>200</v>
      </c>
    </row>
    <row r="83" spans="5:25" ht="18.75">
      <c r="E83" s="14"/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6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</row>
    <row r="84" spans="5:25" ht="18.75">
      <c r="E84" s="43"/>
      <c r="F84" s="43">
        <v>0.33333333333333298</v>
      </c>
      <c r="G84" s="43">
        <v>0.33333333333333298</v>
      </c>
      <c r="H84" s="43">
        <v>0.33333333333333298</v>
      </c>
      <c r="I84" s="43">
        <v>0.33333333333333298</v>
      </c>
      <c r="J84" s="43">
        <v>0.33333333333333298</v>
      </c>
      <c r="K84" s="43">
        <v>0.33333333333333298</v>
      </c>
      <c r="L84" s="43">
        <v>0.33333333333333298</v>
      </c>
      <c r="M84" s="44">
        <v>0.29097222222222202</v>
      </c>
      <c r="N84" s="44">
        <v>0.29097222222222202</v>
      </c>
      <c r="O84" s="44">
        <v>0.29097222222222202</v>
      </c>
      <c r="P84" s="44">
        <v>0.33333333333333298</v>
      </c>
      <c r="Q84" s="43">
        <v>0.33333333333333298</v>
      </c>
      <c r="R84" s="43">
        <v>0.33333333333333298</v>
      </c>
      <c r="S84" s="44">
        <v>0.29097222222222202</v>
      </c>
      <c r="T84" s="43">
        <v>0.33333333333333298</v>
      </c>
      <c r="U84" s="44">
        <v>0.29097222222222202</v>
      </c>
      <c r="V84" s="44">
        <v>0.33333333333333298</v>
      </c>
      <c r="W84" s="43">
        <v>0.33333333333333298</v>
      </c>
      <c r="X84" s="43">
        <v>0.33333333333333298</v>
      </c>
      <c r="Y84" s="43">
        <v>0.33333333333333298</v>
      </c>
    </row>
    <row r="85" spans="5:25" ht="18.75">
      <c r="E85" s="43"/>
      <c r="F85" s="43">
        <v>0.874305555555556</v>
      </c>
      <c r="G85" s="43">
        <v>0.79236111111111096</v>
      </c>
      <c r="H85" s="43">
        <v>0.83402777777777803</v>
      </c>
      <c r="I85" s="43">
        <v>0.83402777777777803</v>
      </c>
      <c r="J85" s="43">
        <v>0.83402777777777803</v>
      </c>
      <c r="K85" s="43">
        <v>0.83402777777777803</v>
      </c>
      <c r="L85" s="43">
        <v>0.83402777777777803</v>
      </c>
      <c r="M85" s="44">
        <v>0.83402777777777803</v>
      </c>
      <c r="N85" s="44">
        <v>0.83402777777777803</v>
      </c>
      <c r="O85" s="44">
        <v>0.83402777777777803</v>
      </c>
      <c r="P85" s="44">
        <v>0.83402777777777803</v>
      </c>
      <c r="Q85" s="43">
        <v>0.83402777777777803</v>
      </c>
      <c r="R85" s="43">
        <v>0.83402777777777803</v>
      </c>
      <c r="S85" s="44">
        <v>0.79236111111111096</v>
      </c>
      <c r="T85" s="43">
        <v>0.83402777777777803</v>
      </c>
      <c r="U85" s="44">
        <v>0.83402777777777803</v>
      </c>
      <c r="V85" s="44">
        <v>0.83402777777777803</v>
      </c>
      <c r="W85" s="43">
        <v>0.83402777777777803</v>
      </c>
      <c r="X85" s="43">
        <v>0.83402777777777803</v>
      </c>
      <c r="Y85" s="43">
        <v>0.83402777777777803</v>
      </c>
    </row>
    <row r="86" spans="5:25" ht="18.75">
      <c r="E86" s="14"/>
      <c r="F86" s="14">
        <v>3</v>
      </c>
      <c r="G86" s="14">
        <v>2</v>
      </c>
      <c r="H86" s="14">
        <v>2</v>
      </c>
      <c r="I86" s="14">
        <v>3</v>
      </c>
      <c r="J86" s="14">
        <v>5</v>
      </c>
      <c r="K86" s="13">
        <v>2</v>
      </c>
      <c r="L86" s="13">
        <v>2</v>
      </c>
      <c r="M86" s="13">
        <v>2</v>
      </c>
      <c r="N86" s="13">
        <v>2</v>
      </c>
      <c r="O86" s="13">
        <v>3</v>
      </c>
      <c r="P86" s="13">
        <v>2</v>
      </c>
      <c r="Q86" s="13">
        <v>2</v>
      </c>
      <c r="R86" s="13">
        <v>2</v>
      </c>
      <c r="S86" s="16">
        <v>2</v>
      </c>
      <c r="T86" s="13">
        <v>2</v>
      </c>
      <c r="U86" s="13">
        <v>2</v>
      </c>
      <c r="V86" s="13">
        <v>2</v>
      </c>
      <c r="W86" s="13">
        <v>2</v>
      </c>
      <c r="X86" s="13">
        <v>2</v>
      </c>
      <c r="Y86" s="13">
        <v>2</v>
      </c>
    </row>
    <row r="87" spans="5:25" ht="19.5" thickBot="1">
      <c r="E87" s="14"/>
      <c r="F87" s="14" t="s">
        <v>87</v>
      </c>
      <c r="G87" s="14" t="s">
        <v>87</v>
      </c>
      <c r="H87" s="14" t="s">
        <v>87</v>
      </c>
      <c r="I87" s="14" t="s">
        <v>87</v>
      </c>
      <c r="J87" s="14" t="s">
        <v>87</v>
      </c>
      <c r="K87" s="13" t="s">
        <v>87</v>
      </c>
      <c r="L87" s="13" t="s">
        <v>87</v>
      </c>
      <c r="M87" s="13" t="s">
        <v>87</v>
      </c>
      <c r="N87" s="13" t="s">
        <v>87</v>
      </c>
      <c r="O87" s="13" t="s">
        <v>87</v>
      </c>
      <c r="P87" s="13" t="s">
        <v>87</v>
      </c>
      <c r="Q87" s="13" t="s">
        <v>87</v>
      </c>
      <c r="R87" s="13" t="s">
        <v>87</v>
      </c>
      <c r="S87" s="16" t="s">
        <v>87</v>
      </c>
      <c r="T87" s="13" t="s">
        <v>87</v>
      </c>
      <c r="U87" s="13" t="s">
        <v>87</v>
      </c>
      <c r="V87" s="13" t="s">
        <v>87</v>
      </c>
      <c r="W87" s="13" t="s">
        <v>87</v>
      </c>
      <c r="X87" s="13" t="s">
        <v>87</v>
      </c>
      <c r="Y87" s="13" t="s">
        <v>87</v>
      </c>
    </row>
    <row r="88" spans="5:25" ht="18.75">
      <c r="E88" s="24"/>
      <c r="F88" s="24">
        <v>5</v>
      </c>
      <c r="G88" s="24">
        <v>0</v>
      </c>
      <c r="H88" s="24">
        <v>3</v>
      </c>
      <c r="I88" s="24">
        <v>5</v>
      </c>
      <c r="J88" s="24">
        <v>0</v>
      </c>
      <c r="K88" s="25">
        <v>0</v>
      </c>
      <c r="L88" s="25">
        <v>4</v>
      </c>
      <c r="M88" s="25">
        <v>5</v>
      </c>
      <c r="N88" s="25">
        <v>5</v>
      </c>
      <c r="O88" s="25">
        <v>5</v>
      </c>
      <c r="P88" s="25">
        <v>4</v>
      </c>
      <c r="Q88" s="25">
        <v>4</v>
      </c>
      <c r="R88" s="25">
        <v>0</v>
      </c>
      <c r="S88" s="26">
        <v>7</v>
      </c>
      <c r="T88" s="25">
        <v>0</v>
      </c>
      <c r="U88" s="25">
        <v>0</v>
      </c>
      <c r="V88" s="25">
        <v>4</v>
      </c>
      <c r="W88" s="25">
        <v>4</v>
      </c>
      <c r="X88" s="25">
        <v>4</v>
      </c>
      <c r="Y88" s="25">
        <v>4</v>
      </c>
    </row>
    <row r="89" spans="5:25" ht="18.75">
      <c r="E89" s="14"/>
      <c r="F89" s="14">
        <v>10</v>
      </c>
      <c r="G89" s="14">
        <v>0</v>
      </c>
      <c r="H89" s="14">
        <v>10</v>
      </c>
      <c r="I89" s="14">
        <v>15</v>
      </c>
      <c r="J89" s="14">
        <v>0</v>
      </c>
      <c r="K89" s="13">
        <v>0</v>
      </c>
      <c r="L89" s="13">
        <v>0</v>
      </c>
      <c r="M89" s="13">
        <v>15</v>
      </c>
      <c r="N89" s="13">
        <v>0</v>
      </c>
      <c r="O89" s="13">
        <v>15</v>
      </c>
      <c r="P89" s="13">
        <v>0</v>
      </c>
      <c r="Q89" s="13">
        <v>0</v>
      </c>
      <c r="R89" s="13">
        <v>0</v>
      </c>
      <c r="S89" s="16">
        <v>10</v>
      </c>
      <c r="T89" s="13">
        <v>0</v>
      </c>
      <c r="U89" s="13">
        <v>20</v>
      </c>
      <c r="V89" s="13">
        <v>10</v>
      </c>
      <c r="W89" s="13">
        <v>0</v>
      </c>
      <c r="X89" s="13">
        <v>0</v>
      </c>
      <c r="Y89" s="13">
        <v>0</v>
      </c>
    </row>
    <row r="90" spans="5:25" ht="18.75">
      <c r="E90" s="14"/>
      <c r="F90" s="14">
        <v>0</v>
      </c>
      <c r="G90" s="14">
        <v>0</v>
      </c>
      <c r="H90" s="14">
        <v>0</v>
      </c>
      <c r="I90" s="14">
        <v>2</v>
      </c>
      <c r="J90" s="14">
        <v>0</v>
      </c>
      <c r="K90" s="13">
        <v>0</v>
      </c>
      <c r="L90" s="13">
        <v>3</v>
      </c>
      <c r="M90" s="13">
        <v>2</v>
      </c>
      <c r="N90" s="13">
        <v>5</v>
      </c>
      <c r="O90" s="13">
        <v>2</v>
      </c>
      <c r="P90" s="13">
        <v>11</v>
      </c>
      <c r="Q90" s="13">
        <v>6</v>
      </c>
      <c r="R90" s="13">
        <v>0</v>
      </c>
      <c r="S90" s="16">
        <v>4</v>
      </c>
      <c r="T90" s="13">
        <v>0</v>
      </c>
      <c r="U90" s="13">
        <v>1</v>
      </c>
      <c r="V90" s="13">
        <v>4</v>
      </c>
      <c r="W90" s="13">
        <v>3</v>
      </c>
      <c r="X90" s="13">
        <v>3</v>
      </c>
      <c r="Y90" s="13">
        <v>3</v>
      </c>
    </row>
    <row r="91" spans="5:25" ht="18.75">
      <c r="E91" s="14"/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6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</row>
    <row r="92" spans="5:25" ht="19.5" thickBot="1">
      <c r="E92" s="30"/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3">
        <v>0</v>
      </c>
      <c r="T92" s="32">
        <v>0</v>
      </c>
      <c r="U92" s="32">
        <v>0</v>
      </c>
      <c r="V92" s="32">
        <v>0</v>
      </c>
      <c r="W92" s="32">
        <v>0</v>
      </c>
      <c r="X92" s="32">
        <v>0</v>
      </c>
      <c r="Y92" s="32">
        <v>0</v>
      </c>
    </row>
    <row r="93" spans="5:25" ht="18.75">
      <c r="E93" s="14"/>
      <c r="F93" s="14" t="s">
        <v>100</v>
      </c>
      <c r="G93" s="14" t="s">
        <v>100</v>
      </c>
      <c r="H93" s="14" t="s">
        <v>100</v>
      </c>
      <c r="I93" s="14" t="s">
        <v>100</v>
      </c>
      <c r="J93" s="14" t="s">
        <v>100</v>
      </c>
      <c r="K93" s="13" t="s">
        <v>100</v>
      </c>
      <c r="L93" s="13" t="s">
        <v>100</v>
      </c>
      <c r="M93" s="13" t="s">
        <v>100</v>
      </c>
      <c r="N93" s="13" t="s">
        <v>100</v>
      </c>
      <c r="O93" s="13" t="s">
        <v>100</v>
      </c>
      <c r="P93" s="13" t="s">
        <v>100</v>
      </c>
      <c r="Q93" s="14" t="s">
        <v>100</v>
      </c>
      <c r="R93" s="14" t="s">
        <v>100</v>
      </c>
      <c r="S93" s="16" t="s">
        <v>100</v>
      </c>
      <c r="T93" s="14" t="s">
        <v>100</v>
      </c>
      <c r="U93" s="13" t="s">
        <v>100</v>
      </c>
      <c r="V93" s="13" t="s">
        <v>100</v>
      </c>
      <c r="W93" s="14" t="s">
        <v>100</v>
      </c>
      <c r="X93" s="14" t="s">
        <v>100</v>
      </c>
      <c r="Y93" s="14" t="s">
        <v>100</v>
      </c>
    </row>
    <row r="94" spans="5:25" ht="18.75">
      <c r="E94" s="14"/>
      <c r="F94" s="14">
        <v>0</v>
      </c>
      <c r="G94" s="14">
        <v>0</v>
      </c>
      <c r="H94" s="14">
        <v>0</v>
      </c>
      <c r="I94" s="14">
        <v>0</v>
      </c>
      <c r="J94" s="14">
        <v>500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6">
        <v>0</v>
      </c>
      <c r="T94" s="13">
        <v>0</v>
      </c>
      <c r="U94" s="13">
        <v>0</v>
      </c>
      <c r="V94" s="13">
        <v>0</v>
      </c>
      <c r="W94" s="13">
        <v>1000</v>
      </c>
      <c r="X94" s="13">
        <v>0</v>
      </c>
      <c r="Y94" s="13">
        <v>0</v>
      </c>
    </row>
    <row r="95" spans="5:25" ht="19.5" thickBot="1">
      <c r="E95" s="14"/>
      <c r="F95" s="14">
        <v>0</v>
      </c>
      <c r="G95" s="14">
        <v>0</v>
      </c>
      <c r="H95" s="14">
        <v>0</v>
      </c>
      <c r="I95" s="14">
        <v>0</v>
      </c>
      <c r="J95" s="14">
        <v>50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6">
        <v>0</v>
      </c>
      <c r="T95" s="13">
        <v>0</v>
      </c>
      <c r="U95" s="13">
        <v>0</v>
      </c>
      <c r="V95" s="13">
        <v>0</v>
      </c>
      <c r="W95" s="13">
        <v>60</v>
      </c>
      <c r="X95" s="13">
        <v>0</v>
      </c>
      <c r="Y95" s="13">
        <v>0</v>
      </c>
    </row>
    <row r="96" spans="5:25" ht="18.75">
      <c r="E96" s="24"/>
      <c r="F96" s="24">
        <v>6</v>
      </c>
      <c r="G96" s="24">
        <v>6</v>
      </c>
      <c r="H96" s="24">
        <v>6</v>
      </c>
      <c r="I96" s="24">
        <v>6</v>
      </c>
      <c r="J96" s="24">
        <v>9</v>
      </c>
      <c r="K96" s="25">
        <v>5</v>
      </c>
      <c r="L96" s="25">
        <v>6</v>
      </c>
      <c r="M96" s="25">
        <v>3</v>
      </c>
      <c r="N96" s="25">
        <v>9</v>
      </c>
      <c r="O96" s="25">
        <v>7</v>
      </c>
      <c r="P96" s="25">
        <v>9</v>
      </c>
      <c r="Q96" s="25">
        <v>5</v>
      </c>
      <c r="R96" s="25">
        <v>6</v>
      </c>
      <c r="S96" s="26">
        <v>6</v>
      </c>
      <c r="T96" s="25">
        <v>6</v>
      </c>
      <c r="U96" s="25">
        <v>6</v>
      </c>
      <c r="V96" s="25">
        <v>6</v>
      </c>
      <c r="W96" s="25">
        <v>9</v>
      </c>
      <c r="X96" s="25">
        <v>9</v>
      </c>
      <c r="Y96" s="25">
        <v>9</v>
      </c>
    </row>
    <row r="97" spans="5:25" ht="19.5" thickBot="1">
      <c r="E97" s="30"/>
      <c r="F97" s="30">
        <v>6</v>
      </c>
      <c r="G97" s="30">
        <v>6</v>
      </c>
      <c r="H97" s="30">
        <v>6</v>
      </c>
      <c r="I97" s="30">
        <v>6</v>
      </c>
      <c r="J97" s="30">
        <v>9</v>
      </c>
      <c r="K97" s="32">
        <v>4</v>
      </c>
      <c r="L97" s="32">
        <v>6</v>
      </c>
      <c r="M97" s="32">
        <v>3</v>
      </c>
      <c r="N97" s="32">
        <v>9</v>
      </c>
      <c r="O97" s="32">
        <v>5</v>
      </c>
      <c r="P97" s="32">
        <v>9</v>
      </c>
      <c r="Q97" s="32">
        <v>4</v>
      </c>
      <c r="R97" s="32">
        <v>5</v>
      </c>
      <c r="S97" s="33">
        <v>6</v>
      </c>
      <c r="T97" s="32">
        <v>4</v>
      </c>
      <c r="U97" s="32">
        <v>6</v>
      </c>
      <c r="V97" s="32">
        <v>6</v>
      </c>
      <c r="W97" s="32">
        <v>9</v>
      </c>
      <c r="X97" s="32">
        <v>6</v>
      </c>
      <c r="Y97" s="32">
        <v>9</v>
      </c>
    </row>
    <row r="98" spans="5:25" ht="18.75">
      <c r="E98" s="14"/>
      <c r="F98" s="14" t="s">
        <v>106</v>
      </c>
      <c r="G98" s="14" t="s">
        <v>106</v>
      </c>
      <c r="H98" s="14" t="s">
        <v>106</v>
      </c>
      <c r="I98" s="14" t="s">
        <v>106</v>
      </c>
      <c r="J98" s="14" t="s">
        <v>106</v>
      </c>
      <c r="K98" s="13" t="s">
        <v>106</v>
      </c>
      <c r="L98" s="13" t="s">
        <v>106</v>
      </c>
      <c r="M98" s="13" t="s">
        <v>106</v>
      </c>
      <c r="N98" s="13" t="s">
        <v>106</v>
      </c>
      <c r="O98" s="13" t="s">
        <v>106</v>
      </c>
      <c r="P98" s="13" t="s">
        <v>106</v>
      </c>
      <c r="Q98" s="13" t="s">
        <v>106</v>
      </c>
      <c r="R98" s="13" t="s">
        <v>106</v>
      </c>
      <c r="S98" s="16" t="s">
        <v>106</v>
      </c>
      <c r="T98" s="13" t="s">
        <v>106</v>
      </c>
      <c r="U98" s="13" t="s">
        <v>106</v>
      </c>
      <c r="V98" s="13" t="s">
        <v>106</v>
      </c>
      <c r="W98" s="13" t="s">
        <v>106</v>
      </c>
      <c r="X98" s="13" t="s">
        <v>106</v>
      </c>
      <c r="Y98" s="13" t="s">
        <v>106</v>
      </c>
    </row>
    <row r="99" spans="5:25" ht="18.75">
      <c r="E99" s="14"/>
      <c r="F99" s="14">
        <v>1000</v>
      </c>
      <c r="G99" s="14">
        <v>1000</v>
      </c>
      <c r="H99" s="14">
        <v>1000</v>
      </c>
      <c r="I99" s="14">
        <v>1000</v>
      </c>
      <c r="J99" s="14">
        <v>1000</v>
      </c>
      <c r="K99" s="13">
        <v>1000</v>
      </c>
      <c r="L99" s="13">
        <v>1000</v>
      </c>
      <c r="M99" s="13">
        <v>1000</v>
      </c>
      <c r="N99" s="13">
        <v>1000</v>
      </c>
      <c r="O99" s="13">
        <v>1000</v>
      </c>
      <c r="P99" s="13">
        <v>1000</v>
      </c>
      <c r="Q99" s="13">
        <v>1000</v>
      </c>
      <c r="R99" s="13">
        <v>1000</v>
      </c>
      <c r="S99" s="16">
        <v>1000</v>
      </c>
      <c r="T99" s="13">
        <v>1000</v>
      </c>
      <c r="U99" s="13">
        <v>1000</v>
      </c>
      <c r="V99" s="13">
        <v>1000</v>
      </c>
      <c r="W99" s="13">
        <v>1000</v>
      </c>
      <c r="X99" s="13">
        <v>1000</v>
      </c>
      <c r="Y99" s="13">
        <v>1000</v>
      </c>
    </row>
    <row r="100" spans="5:25" ht="19.5" thickBot="1">
      <c r="E100" s="14"/>
      <c r="F100" s="14" t="s">
        <v>106</v>
      </c>
      <c r="G100" s="14" t="s">
        <v>106</v>
      </c>
      <c r="H100" s="14" t="s">
        <v>106</v>
      </c>
      <c r="I100" s="14" t="s">
        <v>106</v>
      </c>
      <c r="J100" s="14" t="s">
        <v>106</v>
      </c>
      <c r="K100" s="13" t="s">
        <v>106</v>
      </c>
      <c r="L100" s="13" t="s">
        <v>106</v>
      </c>
      <c r="M100" s="13" t="s">
        <v>106</v>
      </c>
      <c r="N100" s="13" t="s">
        <v>106</v>
      </c>
      <c r="O100" s="13" t="s">
        <v>106</v>
      </c>
      <c r="P100" s="13" t="s">
        <v>106</v>
      </c>
      <c r="Q100" s="13" t="s">
        <v>106</v>
      </c>
      <c r="R100" s="13" t="s">
        <v>106</v>
      </c>
      <c r="S100" s="16" t="s">
        <v>106</v>
      </c>
      <c r="T100" s="13" t="s">
        <v>106</v>
      </c>
      <c r="U100" s="13" t="s">
        <v>106</v>
      </c>
      <c r="V100" s="13" t="s">
        <v>106</v>
      </c>
      <c r="W100" s="13" t="s">
        <v>106</v>
      </c>
      <c r="X100" s="13" t="s">
        <v>106</v>
      </c>
      <c r="Y100" s="13" t="s">
        <v>106</v>
      </c>
    </row>
    <row r="101" spans="5:25" ht="19.5" thickBot="1">
      <c r="E101" s="53"/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4">
        <v>0</v>
      </c>
      <c r="L101" s="54">
        <v>0</v>
      </c>
      <c r="M101" s="54">
        <v>0</v>
      </c>
      <c r="N101" s="54">
        <v>0</v>
      </c>
      <c r="O101" s="54">
        <v>0</v>
      </c>
      <c r="P101" s="54">
        <v>0</v>
      </c>
      <c r="Q101" s="54">
        <v>0</v>
      </c>
      <c r="R101" s="54">
        <v>0</v>
      </c>
      <c r="S101" s="55">
        <v>0</v>
      </c>
      <c r="T101" s="54">
        <v>0</v>
      </c>
      <c r="U101" s="54">
        <v>0</v>
      </c>
      <c r="V101" s="54">
        <v>0</v>
      </c>
      <c r="W101" s="54">
        <v>0</v>
      </c>
      <c r="X101" s="54">
        <v>0</v>
      </c>
      <c r="Y101" s="54">
        <v>0</v>
      </c>
    </row>
    <row r="102" spans="5:25" ht="37.5">
      <c r="E102" s="58"/>
      <c r="F102" s="58" t="s">
        <v>112</v>
      </c>
      <c r="G102" s="58" t="s">
        <v>141</v>
      </c>
      <c r="H102" s="58" t="s">
        <v>113</v>
      </c>
      <c r="I102" s="58" t="s">
        <v>142</v>
      </c>
      <c r="J102" s="58" t="s">
        <v>114</v>
      </c>
      <c r="K102" s="58" t="s">
        <v>115</v>
      </c>
      <c r="L102" s="58" t="s">
        <v>116</v>
      </c>
      <c r="M102" s="58" t="s">
        <v>117</v>
      </c>
      <c r="N102" s="58" t="s">
        <v>118</v>
      </c>
      <c r="O102" s="58" t="s">
        <v>119</v>
      </c>
      <c r="P102" s="58" t="s">
        <v>120</v>
      </c>
      <c r="Q102" s="58" t="s">
        <v>121</v>
      </c>
      <c r="R102" s="58" t="s">
        <v>122</v>
      </c>
      <c r="S102" s="58" t="s">
        <v>123</v>
      </c>
      <c r="T102" s="58" t="s">
        <v>124</v>
      </c>
      <c r="U102" s="58" t="s">
        <v>125</v>
      </c>
      <c r="V102" s="58" t="s">
        <v>126</v>
      </c>
      <c r="W102" s="58" t="s">
        <v>127</v>
      </c>
      <c r="X102" s="59" t="s">
        <v>128</v>
      </c>
      <c r="Y102" s="59" t="s">
        <v>129</v>
      </c>
    </row>
    <row r="103" spans="5:25" ht="19.5" thickBot="1">
      <c r="E103" s="62"/>
      <c r="F103" s="62">
        <v>1</v>
      </c>
      <c r="G103" s="62">
        <v>1</v>
      </c>
      <c r="H103" s="62">
        <v>1</v>
      </c>
      <c r="I103" s="62">
        <v>1</v>
      </c>
      <c r="J103" s="62">
        <v>1</v>
      </c>
      <c r="K103" s="63">
        <v>1</v>
      </c>
      <c r="L103" s="63">
        <v>1</v>
      </c>
      <c r="M103" s="63">
        <v>1</v>
      </c>
      <c r="N103" s="63">
        <v>1</v>
      </c>
      <c r="O103" s="63">
        <v>1</v>
      </c>
      <c r="P103" s="63">
        <v>1</v>
      </c>
      <c r="Q103" s="63">
        <v>1</v>
      </c>
      <c r="R103" s="63">
        <v>1</v>
      </c>
      <c r="S103" s="33">
        <v>1</v>
      </c>
      <c r="T103" s="63">
        <v>1</v>
      </c>
      <c r="U103" s="63">
        <v>1</v>
      </c>
      <c r="V103" s="63">
        <v>1</v>
      </c>
      <c r="W103" s="63">
        <v>1</v>
      </c>
      <c r="X103" s="63">
        <v>1</v>
      </c>
      <c r="Y103" s="63">
        <v>1</v>
      </c>
    </row>
    <row r="104" spans="5:25" ht="19.5" thickBot="1">
      <c r="E104" s="62"/>
      <c r="F104" s="62" t="s">
        <v>100</v>
      </c>
      <c r="G104" s="62" t="s">
        <v>100</v>
      </c>
      <c r="H104" s="62" t="s">
        <v>100</v>
      </c>
      <c r="I104" s="62" t="s">
        <v>100</v>
      </c>
      <c r="J104" s="62" t="s">
        <v>100</v>
      </c>
      <c r="K104" s="63" t="s">
        <v>100</v>
      </c>
      <c r="L104" s="63" t="s">
        <v>100</v>
      </c>
      <c r="M104" s="63" t="s">
        <v>100</v>
      </c>
      <c r="N104" s="63" t="s">
        <v>100</v>
      </c>
      <c r="O104" s="63" t="s">
        <v>100</v>
      </c>
      <c r="P104" s="63" t="s">
        <v>100</v>
      </c>
      <c r="Q104" s="63" t="s">
        <v>100</v>
      </c>
      <c r="R104" s="63" t="s">
        <v>100</v>
      </c>
      <c r="S104" s="33" t="s">
        <v>100</v>
      </c>
      <c r="T104" s="63" t="s">
        <v>100</v>
      </c>
      <c r="U104" s="63" t="s">
        <v>100</v>
      </c>
      <c r="V104" s="63" t="s">
        <v>100</v>
      </c>
      <c r="W104" s="63" t="s">
        <v>100</v>
      </c>
      <c r="X104" s="63" t="s">
        <v>100</v>
      </c>
      <c r="Y104" s="63" t="s">
        <v>100</v>
      </c>
    </row>
    <row r="105" spans="5:25" ht="25.5">
      <c r="E105" s="67"/>
      <c r="F105" s="67">
        <v>43</v>
      </c>
      <c r="G105" s="67">
        <v>43</v>
      </c>
      <c r="H105" s="67">
        <v>43</v>
      </c>
      <c r="I105" s="67">
        <v>43</v>
      </c>
      <c r="J105" s="67">
        <v>43</v>
      </c>
      <c r="K105" s="67">
        <v>43</v>
      </c>
      <c r="L105" s="67">
        <v>43</v>
      </c>
      <c r="M105" s="67">
        <v>43</v>
      </c>
      <c r="N105" s="67">
        <v>43</v>
      </c>
      <c r="O105" s="67">
        <v>43</v>
      </c>
      <c r="P105" s="67">
        <v>43</v>
      </c>
      <c r="Q105" s="67">
        <v>43</v>
      </c>
      <c r="R105" s="67">
        <v>43</v>
      </c>
      <c r="S105" s="67">
        <v>43</v>
      </c>
      <c r="T105" s="67">
        <v>43</v>
      </c>
      <c r="U105" s="67">
        <v>43</v>
      </c>
      <c r="V105" s="67">
        <v>43</v>
      </c>
      <c r="W105" s="67">
        <v>43</v>
      </c>
      <c r="X105" s="67">
        <v>43</v>
      </c>
      <c r="Y105" s="67">
        <v>43</v>
      </c>
    </row>
    <row r="106" spans="5:25" ht="25.5">
      <c r="E106" s="69"/>
      <c r="F106" s="69">
        <v>36</v>
      </c>
      <c r="G106" s="69">
        <v>45</v>
      </c>
      <c r="H106" s="69">
        <v>31</v>
      </c>
      <c r="I106" s="69">
        <v>31</v>
      </c>
      <c r="J106" s="69">
        <v>39</v>
      </c>
      <c r="K106" s="69">
        <v>24</v>
      </c>
      <c r="L106" s="69">
        <v>30</v>
      </c>
      <c r="M106" s="69">
        <v>19</v>
      </c>
      <c r="N106" s="69">
        <v>35</v>
      </c>
      <c r="O106" s="69">
        <v>49</v>
      </c>
      <c r="P106" s="69">
        <v>41</v>
      </c>
      <c r="Q106" s="69">
        <v>28</v>
      </c>
      <c r="R106" s="69">
        <v>26</v>
      </c>
      <c r="S106" s="69">
        <v>32</v>
      </c>
      <c r="T106" s="69">
        <v>12</v>
      </c>
      <c r="U106" s="69">
        <v>57</v>
      </c>
      <c r="V106" s="69">
        <v>18</v>
      </c>
      <c r="W106" s="69">
        <v>63</v>
      </c>
      <c r="X106" s="69">
        <v>22</v>
      </c>
      <c r="Y106" s="69">
        <v>21</v>
      </c>
    </row>
    <row r="107" spans="5:25" ht="25.5">
      <c r="E107" s="70"/>
      <c r="F107" s="70">
        <v>18695</v>
      </c>
      <c r="G107" s="70">
        <v>33521</v>
      </c>
      <c r="H107" s="70">
        <v>9945</v>
      </c>
      <c r="I107" s="70">
        <v>34396</v>
      </c>
      <c r="J107" s="70">
        <v>32262</v>
      </c>
      <c r="K107" s="70">
        <v>16917</v>
      </c>
      <c r="L107" s="70">
        <v>13703</v>
      </c>
      <c r="M107" s="70">
        <v>11408</v>
      </c>
      <c r="N107" s="70">
        <v>18265</v>
      </c>
      <c r="O107" s="70">
        <v>20901</v>
      </c>
      <c r="P107" s="70">
        <v>22398</v>
      </c>
      <c r="Q107" s="70">
        <v>17574</v>
      </c>
      <c r="R107" s="70">
        <v>13499</v>
      </c>
      <c r="S107" s="70">
        <v>27211</v>
      </c>
      <c r="T107" s="70">
        <v>5305</v>
      </c>
      <c r="U107" s="70">
        <v>25083</v>
      </c>
      <c r="V107" s="70">
        <v>10206</v>
      </c>
      <c r="W107" s="70">
        <v>17136</v>
      </c>
      <c r="X107" s="70">
        <v>7906</v>
      </c>
      <c r="Y107" s="70">
        <v>8365</v>
      </c>
    </row>
    <row r="108" spans="5:25" ht="18.75">
      <c r="E108" s="11"/>
      <c r="F108" s="11">
        <v>44061</v>
      </c>
      <c r="G108" s="11">
        <v>44061</v>
      </c>
      <c r="H108" s="11">
        <v>44061</v>
      </c>
      <c r="I108" s="11">
        <v>44061</v>
      </c>
      <c r="J108" s="11">
        <v>44061</v>
      </c>
      <c r="K108" s="11">
        <v>44076</v>
      </c>
      <c r="L108" s="11">
        <v>44074</v>
      </c>
      <c r="M108" s="11">
        <v>44061</v>
      </c>
      <c r="N108" s="11">
        <v>44061</v>
      </c>
      <c r="O108" s="11">
        <v>44074</v>
      </c>
      <c r="P108" s="11">
        <v>44074</v>
      </c>
      <c r="Q108" s="11">
        <v>44081</v>
      </c>
      <c r="R108" s="11">
        <v>44081</v>
      </c>
      <c r="S108" s="11">
        <v>44074</v>
      </c>
      <c r="T108" s="11">
        <v>44081</v>
      </c>
      <c r="U108" s="11">
        <v>44074</v>
      </c>
      <c r="V108" s="11">
        <v>44074</v>
      </c>
      <c r="W108" s="11">
        <v>44092</v>
      </c>
      <c r="X108" s="11">
        <v>44093</v>
      </c>
      <c r="Y108" s="11">
        <v>44094</v>
      </c>
    </row>
    <row r="109" spans="5:25"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2"/>
      <c r="X109" s="72"/>
      <c r="Y109" s="72"/>
    </row>
    <row r="110" spans="5:25" ht="26.25" thickBot="1">
      <c r="E110" s="70"/>
      <c r="F110" s="70">
        <f t="shared" ref="F110" si="6">+F107/F106</f>
        <v>519.30555555555554</v>
      </c>
      <c r="G110" s="70">
        <f t="shared" ref="G110:Y110" si="7">+G107/G106</f>
        <v>744.91111111111115</v>
      </c>
      <c r="H110" s="70">
        <f t="shared" si="7"/>
        <v>320.80645161290323</v>
      </c>
      <c r="I110" s="70">
        <f t="shared" si="7"/>
        <v>1109.5483870967741</v>
      </c>
      <c r="J110" s="70">
        <f t="shared" si="7"/>
        <v>827.23076923076928</v>
      </c>
      <c r="K110" s="70">
        <f t="shared" si="7"/>
        <v>704.875</v>
      </c>
      <c r="L110" s="70">
        <f t="shared" si="7"/>
        <v>456.76666666666665</v>
      </c>
      <c r="M110" s="70">
        <f t="shared" si="7"/>
        <v>600.42105263157896</v>
      </c>
      <c r="N110" s="70">
        <f t="shared" si="7"/>
        <v>521.85714285714289</v>
      </c>
      <c r="O110" s="70">
        <f t="shared" si="7"/>
        <v>426.55102040816325</v>
      </c>
      <c r="P110" s="70">
        <f t="shared" si="7"/>
        <v>546.29268292682923</v>
      </c>
      <c r="Q110" s="70">
        <f t="shared" si="7"/>
        <v>627.64285714285711</v>
      </c>
      <c r="R110" s="70">
        <f t="shared" si="7"/>
        <v>519.19230769230774</v>
      </c>
      <c r="S110" s="70">
        <f t="shared" si="7"/>
        <v>850.34375</v>
      </c>
      <c r="T110" s="70">
        <f t="shared" si="7"/>
        <v>442.08333333333331</v>
      </c>
      <c r="U110" s="70">
        <f t="shared" si="7"/>
        <v>440.05263157894734</v>
      </c>
      <c r="V110" s="70">
        <f t="shared" si="7"/>
        <v>567</v>
      </c>
      <c r="W110" s="70">
        <f t="shared" si="7"/>
        <v>272</v>
      </c>
      <c r="X110" s="70">
        <f t="shared" si="7"/>
        <v>359.36363636363637</v>
      </c>
      <c r="Y110" s="70">
        <f t="shared" si="7"/>
        <v>398.33333333333331</v>
      </c>
    </row>
    <row r="111" spans="5:25" ht="70.5" thickBot="1">
      <c r="E111" s="76"/>
      <c r="F111" s="76" t="str">
        <f t="shared" ref="F111" si="8">+F62</f>
        <v>A02_2002</v>
      </c>
      <c r="G111" s="9" t="str">
        <f t="shared" ref="G111:Y111" si="9">+G62</f>
        <v>A01_2001</v>
      </c>
      <c r="H111" s="9" t="str">
        <f t="shared" si="9"/>
        <v>A04_2001</v>
      </c>
      <c r="I111" s="9" t="str">
        <f t="shared" si="9"/>
        <v>A06_2000</v>
      </c>
      <c r="J111" s="9" t="str">
        <f t="shared" si="9"/>
        <v>C03_2002</v>
      </c>
      <c r="K111" s="9" t="str">
        <f t="shared" si="9"/>
        <v>E01_3003</v>
      </c>
      <c r="L111" s="9" t="str">
        <f t="shared" si="9"/>
        <v>E03_2001</v>
      </c>
      <c r="M111" s="9" t="str">
        <f t="shared" si="9"/>
        <v>EUR GBP 4H_210</v>
      </c>
      <c r="N111" s="9" t="str">
        <f t="shared" si="9"/>
        <v>EUR JPY 4H_210</v>
      </c>
      <c r="O111" s="9" t="str">
        <f t="shared" si="9"/>
        <v>EUR USD 4H_210</v>
      </c>
      <c r="P111" s="9" t="str">
        <f t="shared" si="9"/>
        <v>GBP AUD 4H_202§</v>
      </c>
      <c r="Q111" s="9" t="str">
        <f t="shared" si="9"/>
        <v>G02_2002</v>
      </c>
      <c r="R111" s="9" t="str">
        <f t="shared" si="9"/>
        <v>G03_2001</v>
      </c>
      <c r="S111" s="9" t="str">
        <f t="shared" si="9"/>
        <v>GBP JPY 4H_213</v>
      </c>
      <c r="T111" s="9" t="str">
        <f t="shared" si="9"/>
        <v>G05_2002</v>
      </c>
      <c r="U111" s="9" t="str">
        <f t="shared" si="9"/>
        <v>USD CAD 4H_210</v>
      </c>
      <c r="V111" s="9" t="str">
        <f t="shared" si="9"/>
        <v>USD JPY 4H_211</v>
      </c>
      <c r="W111" s="76" t="str">
        <f t="shared" si="9"/>
        <v>G06_2000</v>
      </c>
      <c r="X111" s="76" t="str">
        <f t="shared" si="9"/>
        <v>N01_2002</v>
      </c>
      <c r="Y111" s="76" t="str">
        <f t="shared" si="9"/>
        <v>N05_2001</v>
      </c>
    </row>
    <row r="112" spans="5:25" ht="24" thickBot="1">
      <c r="E112" s="77"/>
      <c r="F112" s="77">
        <v>1</v>
      </c>
      <c r="G112" s="77">
        <f>+C112+1</f>
        <v>1</v>
      </c>
      <c r="H112" s="77">
        <f t="shared" ref="H112:Y112" si="10">+G112+1</f>
        <v>2</v>
      </c>
      <c r="I112" s="77">
        <f t="shared" si="10"/>
        <v>3</v>
      </c>
      <c r="J112" s="77">
        <f t="shared" si="10"/>
        <v>4</v>
      </c>
      <c r="K112" s="77">
        <f t="shared" si="10"/>
        <v>5</v>
      </c>
      <c r="L112" s="77">
        <f t="shared" si="10"/>
        <v>6</v>
      </c>
      <c r="M112" s="77">
        <f t="shared" si="10"/>
        <v>7</v>
      </c>
      <c r="N112" s="77">
        <f t="shared" si="10"/>
        <v>8</v>
      </c>
      <c r="O112" s="77">
        <f t="shared" si="10"/>
        <v>9</v>
      </c>
      <c r="P112" s="77">
        <f t="shared" si="10"/>
        <v>10</v>
      </c>
      <c r="Q112" s="77">
        <f t="shared" si="10"/>
        <v>11</v>
      </c>
      <c r="R112" s="77">
        <f t="shared" si="10"/>
        <v>12</v>
      </c>
      <c r="S112" s="77">
        <f t="shared" si="10"/>
        <v>13</v>
      </c>
      <c r="T112" s="77">
        <f t="shared" si="10"/>
        <v>14</v>
      </c>
      <c r="U112" s="77">
        <f t="shared" si="10"/>
        <v>15</v>
      </c>
      <c r="V112" s="77">
        <f t="shared" si="10"/>
        <v>16</v>
      </c>
      <c r="W112" s="77">
        <f t="shared" si="10"/>
        <v>17</v>
      </c>
      <c r="X112" s="77">
        <f t="shared" si="10"/>
        <v>18</v>
      </c>
      <c r="Y112" s="77">
        <f t="shared" si="10"/>
        <v>19</v>
      </c>
    </row>
    <row r="113" spans="5:22"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6" spans="5:22" ht="15.75" thickBot="1"/>
    <row r="117" spans="5:22" ht="47.25" thickBot="1">
      <c r="E117" s="8"/>
      <c r="F117" s="8" t="s">
        <v>3</v>
      </c>
      <c r="G117" s="8" t="s">
        <v>135</v>
      </c>
      <c r="H117" s="8" t="s">
        <v>136</v>
      </c>
      <c r="I117" s="8" t="s">
        <v>137</v>
      </c>
      <c r="J117" s="8" t="s">
        <v>5</v>
      </c>
      <c r="K117" s="9" t="s">
        <v>6</v>
      </c>
      <c r="L117" s="9" t="s">
        <v>7</v>
      </c>
      <c r="M117" s="10" t="s">
        <v>8</v>
      </c>
      <c r="N117" s="10" t="s">
        <v>9</v>
      </c>
      <c r="O117" s="10" t="s">
        <v>10</v>
      </c>
      <c r="P117" s="10" t="s">
        <v>11</v>
      </c>
      <c r="Q117" s="9" t="s">
        <v>12</v>
      </c>
      <c r="R117" s="9" t="s">
        <v>13</v>
      </c>
      <c r="S117" s="10" t="s">
        <v>14</v>
      </c>
      <c r="T117" s="9" t="s">
        <v>15</v>
      </c>
      <c r="U117" s="10" t="s">
        <v>16</v>
      </c>
      <c r="V117" s="10" t="s">
        <v>17</v>
      </c>
    </row>
    <row r="118" spans="5:22" ht="18.75">
      <c r="E118" s="13"/>
      <c r="F118" s="13" t="s">
        <v>34</v>
      </c>
      <c r="G118" s="13" t="s">
        <v>138</v>
      </c>
      <c r="H118" s="13" t="s">
        <v>139</v>
      </c>
      <c r="I118" s="13" t="s">
        <v>140</v>
      </c>
      <c r="J118" s="15" t="s">
        <v>37</v>
      </c>
      <c r="K118" s="13" t="s">
        <v>38</v>
      </c>
      <c r="L118" s="13" t="s">
        <v>39</v>
      </c>
      <c r="M118" s="13" t="s">
        <v>40</v>
      </c>
      <c r="N118" s="13" t="s">
        <v>41</v>
      </c>
      <c r="O118" s="13" t="s">
        <v>42</v>
      </c>
      <c r="P118" s="13" t="s">
        <v>43</v>
      </c>
      <c r="Q118" s="13" t="s">
        <v>44</v>
      </c>
      <c r="R118" s="13" t="s">
        <v>45</v>
      </c>
      <c r="S118" s="16" t="s">
        <v>46</v>
      </c>
      <c r="T118" s="13" t="s">
        <v>47</v>
      </c>
      <c r="U118" s="13" t="s">
        <v>48</v>
      </c>
      <c r="V118" s="13" t="s">
        <v>49</v>
      </c>
    </row>
    <row r="119" spans="5:22" ht="36.75" thickBot="1">
      <c r="E119" s="14"/>
      <c r="F119" s="14" t="s">
        <v>56</v>
      </c>
      <c r="G119" s="14" t="s">
        <v>56</v>
      </c>
      <c r="H119" s="14" t="s">
        <v>56</v>
      </c>
      <c r="I119" s="14" t="s">
        <v>56</v>
      </c>
      <c r="J119" s="14" t="s">
        <v>56</v>
      </c>
      <c r="K119" s="18" t="s">
        <v>58</v>
      </c>
      <c r="L119" s="14" t="s">
        <v>56</v>
      </c>
      <c r="M119" s="14" t="s">
        <v>56</v>
      </c>
      <c r="N119" s="14" t="s">
        <v>56</v>
      </c>
      <c r="O119" s="14" t="s">
        <v>56</v>
      </c>
      <c r="P119" s="14" t="s">
        <v>56</v>
      </c>
      <c r="Q119" s="14" t="s">
        <v>56</v>
      </c>
      <c r="R119" s="14" t="s">
        <v>56</v>
      </c>
      <c r="S119" s="14" t="s">
        <v>56</v>
      </c>
      <c r="T119" s="14" t="s">
        <v>56</v>
      </c>
      <c r="U119" s="14" t="s">
        <v>56</v>
      </c>
      <c r="V119" s="14" t="s">
        <v>56</v>
      </c>
    </row>
    <row r="120" spans="5:22" ht="24" thickBot="1">
      <c r="E120" s="19"/>
      <c r="F120" s="19">
        <v>0.32400000000000001</v>
      </c>
      <c r="G120" s="19">
        <v>0.32400000000000001</v>
      </c>
      <c r="H120" s="19">
        <v>0.32400000000000001</v>
      </c>
      <c r="I120" s="19">
        <v>0.32400000000000001</v>
      </c>
      <c r="J120" s="19">
        <v>0.30599999999999999</v>
      </c>
      <c r="K120" s="21">
        <v>0.2</v>
      </c>
      <c r="L120" s="21">
        <v>0.2</v>
      </c>
      <c r="M120" s="19">
        <v>0.2</v>
      </c>
      <c r="N120" s="19">
        <v>0.2</v>
      </c>
      <c r="O120" s="19">
        <v>0.2</v>
      </c>
      <c r="P120" s="19">
        <v>0.17899999999999999</v>
      </c>
      <c r="Q120" s="21">
        <v>0.17899999999999999</v>
      </c>
      <c r="R120" s="21">
        <v>0.17899999999999999</v>
      </c>
      <c r="S120" s="21">
        <v>0.17899999999999999</v>
      </c>
      <c r="T120" s="21">
        <v>0.17899999999999999</v>
      </c>
      <c r="U120" s="19">
        <v>0.22700000000000001</v>
      </c>
      <c r="V120" s="21">
        <v>0.22700000000000001</v>
      </c>
    </row>
    <row r="121" spans="5:22" ht="19.5" thickBot="1">
      <c r="E121" s="14"/>
      <c r="F121" s="14">
        <v>2</v>
      </c>
      <c r="G121" s="14">
        <v>2</v>
      </c>
      <c r="H121" s="14">
        <v>2</v>
      </c>
      <c r="I121" s="14">
        <v>2</v>
      </c>
      <c r="J121" s="14">
        <v>2</v>
      </c>
      <c r="K121" s="13">
        <v>3</v>
      </c>
      <c r="L121" s="13">
        <v>2</v>
      </c>
      <c r="M121" s="13">
        <v>2</v>
      </c>
      <c r="N121" s="13">
        <v>2</v>
      </c>
      <c r="O121" s="13">
        <v>2</v>
      </c>
      <c r="P121" s="13">
        <v>2</v>
      </c>
      <c r="Q121" s="13">
        <v>2</v>
      </c>
      <c r="R121" s="13">
        <v>2</v>
      </c>
      <c r="S121" s="16">
        <v>2</v>
      </c>
      <c r="T121" s="13">
        <v>2</v>
      </c>
      <c r="U121" s="13">
        <v>2</v>
      </c>
      <c r="V121" s="13">
        <v>2</v>
      </c>
    </row>
    <row r="122" spans="5:22" ht="18.75">
      <c r="E122" s="24"/>
      <c r="F122" s="24">
        <v>10</v>
      </c>
      <c r="G122" s="24">
        <v>20</v>
      </c>
      <c r="H122" s="24">
        <v>20</v>
      </c>
      <c r="I122" s="24">
        <v>10</v>
      </c>
      <c r="J122" s="24">
        <v>25</v>
      </c>
      <c r="K122" s="25">
        <v>20</v>
      </c>
      <c r="L122" s="25">
        <v>10</v>
      </c>
      <c r="M122" s="25">
        <v>10</v>
      </c>
      <c r="N122" s="25">
        <v>30</v>
      </c>
      <c r="O122" s="25">
        <v>10</v>
      </c>
      <c r="P122" s="25">
        <v>20</v>
      </c>
      <c r="Q122" s="25">
        <v>15</v>
      </c>
      <c r="R122" s="25">
        <v>20</v>
      </c>
      <c r="S122" s="26">
        <v>20</v>
      </c>
      <c r="T122" s="25">
        <v>20</v>
      </c>
      <c r="U122" s="25">
        <v>10</v>
      </c>
      <c r="V122" s="25">
        <v>15</v>
      </c>
    </row>
    <row r="123" spans="5:22" ht="18.75">
      <c r="E123" s="14"/>
      <c r="F123" s="14">
        <v>100</v>
      </c>
      <c r="G123" s="14">
        <v>98</v>
      </c>
      <c r="H123" s="14">
        <v>99</v>
      </c>
      <c r="I123" s="14">
        <v>95</v>
      </c>
      <c r="J123" s="14">
        <v>98</v>
      </c>
      <c r="K123" s="13">
        <v>99</v>
      </c>
      <c r="L123" s="13">
        <v>95</v>
      </c>
      <c r="M123" s="13">
        <v>100</v>
      </c>
      <c r="N123" s="13">
        <v>98</v>
      </c>
      <c r="O123" s="13">
        <v>99</v>
      </c>
      <c r="P123" s="13">
        <v>99</v>
      </c>
      <c r="Q123" s="13">
        <v>99</v>
      </c>
      <c r="R123" s="13">
        <v>99</v>
      </c>
      <c r="S123" s="16">
        <v>95</v>
      </c>
      <c r="T123" s="13">
        <v>99</v>
      </c>
      <c r="U123" s="13">
        <v>95</v>
      </c>
      <c r="V123" s="13">
        <v>99</v>
      </c>
    </row>
    <row r="124" spans="5:22" ht="18.75">
      <c r="E124" s="14"/>
      <c r="F124" s="14">
        <v>10</v>
      </c>
      <c r="G124" s="14">
        <v>10</v>
      </c>
      <c r="H124" s="14">
        <v>6</v>
      </c>
      <c r="I124" s="14">
        <v>5</v>
      </c>
      <c r="J124" s="14">
        <v>6</v>
      </c>
      <c r="K124" s="13">
        <v>10</v>
      </c>
      <c r="L124" s="13">
        <v>10</v>
      </c>
      <c r="M124" s="13">
        <v>12</v>
      </c>
      <c r="N124" s="13">
        <v>16</v>
      </c>
      <c r="O124" s="13">
        <v>10</v>
      </c>
      <c r="P124" s="13">
        <v>7</v>
      </c>
      <c r="Q124" s="13">
        <v>10</v>
      </c>
      <c r="R124" s="13">
        <v>10</v>
      </c>
      <c r="S124" s="16">
        <v>16</v>
      </c>
      <c r="T124" s="13">
        <v>10</v>
      </c>
      <c r="U124" s="13">
        <v>10</v>
      </c>
      <c r="V124" s="13">
        <v>10</v>
      </c>
    </row>
    <row r="125" spans="5:22" ht="18.75">
      <c r="E125" s="14"/>
      <c r="F125" s="14">
        <v>200</v>
      </c>
      <c r="G125" s="14">
        <v>200</v>
      </c>
      <c r="H125" s="14">
        <v>200</v>
      </c>
      <c r="I125" s="14">
        <v>500</v>
      </c>
      <c r="J125" s="14">
        <v>500</v>
      </c>
      <c r="K125" s="13">
        <v>200</v>
      </c>
      <c r="L125" s="13">
        <v>200</v>
      </c>
      <c r="M125" s="13">
        <v>200</v>
      </c>
      <c r="N125" s="13">
        <v>500</v>
      </c>
      <c r="O125" s="13">
        <v>100</v>
      </c>
      <c r="P125" s="13">
        <v>200</v>
      </c>
      <c r="Q125" s="13">
        <v>200</v>
      </c>
      <c r="R125" s="13">
        <v>200</v>
      </c>
      <c r="S125" s="16">
        <v>500</v>
      </c>
      <c r="T125" s="13">
        <v>200</v>
      </c>
      <c r="U125" s="13">
        <v>200</v>
      </c>
      <c r="V125" s="13">
        <v>200</v>
      </c>
    </row>
    <row r="126" spans="5:22" ht="18.75">
      <c r="E126" s="14"/>
      <c r="F126" s="14">
        <v>5</v>
      </c>
      <c r="G126" s="14">
        <v>10</v>
      </c>
      <c r="H126" s="14">
        <v>8</v>
      </c>
      <c r="I126" s="14">
        <v>4</v>
      </c>
      <c r="J126" s="14">
        <v>15</v>
      </c>
      <c r="K126" s="13">
        <v>7</v>
      </c>
      <c r="L126" s="13">
        <v>10</v>
      </c>
      <c r="M126" s="13">
        <v>6</v>
      </c>
      <c r="N126" s="13">
        <v>6</v>
      </c>
      <c r="O126" s="13">
        <v>6</v>
      </c>
      <c r="P126" s="13">
        <v>8</v>
      </c>
      <c r="Q126" s="13">
        <v>5</v>
      </c>
      <c r="R126" s="13">
        <v>5</v>
      </c>
      <c r="S126" s="16">
        <v>10</v>
      </c>
      <c r="T126" s="13">
        <v>5</v>
      </c>
      <c r="U126" s="13">
        <v>10</v>
      </c>
      <c r="V126" s="13">
        <v>8</v>
      </c>
    </row>
    <row r="127" spans="5:22" ht="19.5" thickBot="1">
      <c r="E127" s="30"/>
      <c r="F127" s="30">
        <v>50</v>
      </c>
      <c r="G127" s="30">
        <v>60</v>
      </c>
      <c r="H127" s="30">
        <v>100</v>
      </c>
      <c r="I127" s="30">
        <v>200</v>
      </c>
      <c r="J127" s="30">
        <v>300</v>
      </c>
      <c r="K127" s="32">
        <v>100</v>
      </c>
      <c r="L127" s="32">
        <v>80</v>
      </c>
      <c r="M127" s="32">
        <v>100</v>
      </c>
      <c r="N127" s="32">
        <v>60</v>
      </c>
      <c r="O127" s="32">
        <v>50</v>
      </c>
      <c r="P127" s="32">
        <v>80</v>
      </c>
      <c r="Q127" s="32">
        <v>122</v>
      </c>
      <c r="R127" s="32">
        <v>80</v>
      </c>
      <c r="S127" s="33">
        <v>200</v>
      </c>
      <c r="T127" s="32">
        <v>80</v>
      </c>
      <c r="U127" s="32">
        <v>80</v>
      </c>
      <c r="V127" s="32">
        <v>100</v>
      </c>
    </row>
    <row r="128" spans="5:22" ht="18.75">
      <c r="E128" s="14"/>
      <c r="F128" s="14">
        <v>12</v>
      </c>
      <c r="G128" s="14">
        <v>14</v>
      </c>
      <c r="H128" s="14">
        <v>8</v>
      </c>
      <c r="I128" s="14">
        <v>17</v>
      </c>
      <c r="J128" s="14">
        <v>8</v>
      </c>
      <c r="K128" s="13">
        <v>10</v>
      </c>
      <c r="L128" s="13">
        <v>20</v>
      </c>
      <c r="M128" s="13">
        <v>10</v>
      </c>
      <c r="N128" s="13">
        <v>21</v>
      </c>
      <c r="O128" s="13">
        <v>8</v>
      </c>
      <c r="P128" s="13">
        <v>8</v>
      </c>
      <c r="Q128" s="13">
        <v>22</v>
      </c>
      <c r="R128" s="13">
        <v>13</v>
      </c>
      <c r="S128" s="16">
        <v>50</v>
      </c>
      <c r="T128" s="13">
        <v>25</v>
      </c>
      <c r="U128" s="13">
        <v>20</v>
      </c>
      <c r="V128" s="13">
        <v>25</v>
      </c>
    </row>
    <row r="129" spans="5:22" ht="19.5" thickBot="1">
      <c r="E129" s="14"/>
      <c r="F129" s="14">
        <v>60</v>
      </c>
      <c r="G129" s="14">
        <v>0</v>
      </c>
      <c r="H129" s="14">
        <v>100</v>
      </c>
      <c r="I129" s="14">
        <v>0</v>
      </c>
      <c r="J129" s="14">
        <v>40</v>
      </c>
      <c r="K129" s="13">
        <v>100</v>
      </c>
      <c r="L129" s="13">
        <v>100</v>
      </c>
      <c r="M129" s="13">
        <v>90</v>
      </c>
      <c r="N129" s="13">
        <v>0</v>
      </c>
      <c r="O129" s="13">
        <v>0</v>
      </c>
      <c r="P129" s="13">
        <v>100</v>
      </c>
      <c r="Q129" s="13">
        <v>30</v>
      </c>
      <c r="R129" s="13">
        <v>100</v>
      </c>
      <c r="S129" s="16">
        <v>0</v>
      </c>
      <c r="T129" s="13">
        <v>70</v>
      </c>
      <c r="U129" s="13">
        <v>100</v>
      </c>
      <c r="V129" s="13">
        <v>40</v>
      </c>
    </row>
    <row r="130" spans="5:22" ht="18.75">
      <c r="E130" s="24"/>
      <c r="F130" s="24">
        <v>0</v>
      </c>
      <c r="G130" s="24">
        <v>5</v>
      </c>
      <c r="H130" s="24">
        <v>10</v>
      </c>
      <c r="I130" s="24">
        <v>5</v>
      </c>
      <c r="J130" s="24">
        <v>20</v>
      </c>
      <c r="K130" s="25">
        <v>20</v>
      </c>
      <c r="L130" s="25">
        <v>0</v>
      </c>
      <c r="M130" s="25">
        <v>0</v>
      </c>
      <c r="N130" s="25">
        <v>0</v>
      </c>
      <c r="O130" s="25">
        <v>5</v>
      </c>
      <c r="P130" s="25">
        <v>5</v>
      </c>
      <c r="Q130" s="25">
        <v>8</v>
      </c>
      <c r="R130" s="25">
        <v>0</v>
      </c>
      <c r="S130" s="26">
        <v>0</v>
      </c>
      <c r="T130" s="25">
        <v>0</v>
      </c>
      <c r="U130" s="25">
        <v>0</v>
      </c>
      <c r="V130" s="25">
        <v>0</v>
      </c>
    </row>
    <row r="131" spans="5:22" ht="18.75">
      <c r="E131" s="14"/>
      <c r="F131" s="14">
        <v>55</v>
      </c>
      <c r="G131" s="14">
        <v>50</v>
      </c>
      <c r="H131" s="14">
        <v>20</v>
      </c>
      <c r="I131" s="14">
        <v>65</v>
      </c>
      <c r="J131" s="14">
        <v>20</v>
      </c>
      <c r="K131" s="13">
        <v>70</v>
      </c>
      <c r="L131" s="13">
        <v>60</v>
      </c>
      <c r="M131" s="13">
        <v>60</v>
      </c>
      <c r="N131" s="13">
        <v>50</v>
      </c>
      <c r="O131" s="13">
        <v>45</v>
      </c>
      <c r="P131" s="13">
        <v>50</v>
      </c>
      <c r="Q131" s="13">
        <v>50</v>
      </c>
      <c r="R131" s="13">
        <v>50</v>
      </c>
      <c r="S131" s="16">
        <v>70</v>
      </c>
      <c r="T131" s="13">
        <v>50</v>
      </c>
      <c r="U131" s="13">
        <v>60</v>
      </c>
      <c r="V131" s="13">
        <v>60</v>
      </c>
    </row>
    <row r="132" spans="5:22" ht="18.75">
      <c r="E132" s="14"/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6">
        <v>0</v>
      </c>
      <c r="T132" s="13">
        <v>0</v>
      </c>
      <c r="U132" s="13">
        <v>0</v>
      </c>
      <c r="V132" s="13">
        <v>0</v>
      </c>
    </row>
    <row r="133" spans="5:22" ht="18.75">
      <c r="E133" s="14"/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6">
        <v>0</v>
      </c>
      <c r="T133" s="13">
        <v>0</v>
      </c>
      <c r="U133" s="13">
        <v>0</v>
      </c>
      <c r="V133" s="13">
        <v>0</v>
      </c>
    </row>
    <row r="134" spans="5:22" ht="18.75">
      <c r="E134" s="14"/>
      <c r="F134" s="14">
        <v>800</v>
      </c>
      <c r="G134" s="14">
        <v>800</v>
      </c>
      <c r="H134" s="14">
        <v>800</v>
      </c>
      <c r="I134" s="14">
        <v>800</v>
      </c>
      <c r="J134" s="14">
        <v>800</v>
      </c>
      <c r="K134" s="13">
        <v>800</v>
      </c>
      <c r="L134" s="13">
        <v>800</v>
      </c>
      <c r="M134" s="13">
        <v>800</v>
      </c>
      <c r="N134" s="13">
        <v>600</v>
      </c>
      <c r="O134" s="13">
        <v>800</v>
      </c>
      <c r="P134" s="13">
        <v>800</v>
      </c>
      <c r="Q134" s="13">
        <v>800</v>
      </c>
      <c r="R134" s="13">
        <v>800</v>
      </c>
      <c r="S134" s="16">
        <v>800</v>
      </c>
      <c r="T134" s="13">
        <v>800</v>
      </c>
      <c r="U134" s="13">
        <v>800</v>
      </c>
      <c r="V134" s="13">
        <v>700</v>
      </c>
    </row>
    <row r="135" spans="5:22" ht="19.5" thickBot="1">
      <c r="E135" s="30"/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3">
        <v>0</v>
      </c>
      <c r="T135" s="32">
        <v>0</v>
      </c>
      <c r="U135" s="32">
        <v>0</v>
      </c>
      <c r="V135" s="32">
        <v>0</v>
      </c>
    </row>
    <row r="136" spans="5:22" ht="18.75">
      <c r="E136" s="14"/>
      <c r="F136" s="14">
        <v>2</v>
      </c>
      <c r="G136" s="14">
        <v>10</v>
      </c>
      <c r="H136" s="14">
        <v>4</v>
      </c>
      <c r="I136" s="14">
        <v>4</v>
      </c>
      <c r="J136" s="14">
        <v>3</v>
      </c>
      <c r="K136" s="13">
        <v>5</v>
      </c>
      <c r="L136" s="13">
        <v>5</v>
      </c>
      <c r="M136" s="13">
        <v>4</v>
      </c>
      <c r="N136" s="13">
        <v>5</v>
      </c>
      <c r="O136" s="13">
        <v>5</v>
      </c>
      <c r="P136" s="13">
        <v>7</v>
      </c>
      <c r="Q136" s="13">
        <v>3</v>
      </c>
      <c r="R136" s="13">
        <v>3</v>
      </c>
      <c r="S136" s="16">
        <v>20</v>
      </c>
      <c r="T136" s="13">
        <v>3</v>
      </c>
      <c r="U136" s="13">
        <v>5</v>
      </c>
      <c r="V136" s="13">
        <v>5</v>
      </c>
    </row>
    <row r="137" spans="5:22" ht="18.75">
      <c r="E137" s="14"/>
      <c r="F137" s="14">
        <v>50</v>
      </c>
      <c r="G137" s="14">
        <v>100</v>
      </c>
      <c r="H137" s="14">
        <v>100</v>
      </c>
      <c r="I137" s="14">
        <v>200</v>
      </c>
      <c r="J137" s="14">
        <v>100</v>
      </c>
      <c r="K137" s="13">
        <v>200</v>
      </c>
      <c r="L137" s="13">
        <v>200</v>
      </c>
      <c r="M137" s="13">
        <v>80</v>
      </c>
      <c r="N137" s="13">
        <v>200</v>
      </c>
      <c r="O137" s="13">
        <v>200</v>
      </c>
      <c r="P137" s="13">
        <v>120</v>
      </c>
      <c r="Q137" s="13">
        <v>200</v>
      </c>
      <c r="R137" s="13">
        <v>200</v>
      </c>
      <c r="S137" s="16">
        <v>200</v>
      </c>
      <c r="T137" s="13">
        <v>200</v>
      </c>
      <c r="U137" s="13">
        <v>200</v>
      </c>
      <c r="V137" s="13">
        <v>200</v>
      </c>
    </row>
    <row r="138" spans="5:22" ht="18.75">
      <c r="E138" s="14"/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6">
        <v>0</v>
      </c>
      <c r="T138" s="13">
        <v>0</v>
      </c>
      <c r="U138" s="13">
        <v>0</v>
      </c>
      <c r="V138" s="13">
        <v>0</v>
      </c>
    </row>
    <row r="139" spans="5:22" ht="18.75">
      <c r="E139" s="43"/>
      <c r="F139" s="43">
        <v>0.33333333333333298</v>
      </c>
      <c r="G139" s="43">
        <v>0.33333333333333298</v>
      </c>
      <c r="H139" s="43">
        <v>0.33333333333333298</v>
      </c>
      <c r="I139" s="43">
        <v>0.33333333333333298</v>
      </c>
      <c r="J139" s="43">
        <v>0.33333333333333298</v>
      </c>
      <c r="K139" s="43">
        <v>0.33333333333333298</v>
      </c>
      <c r="L139" s="43">
        <v>0.33333333333333298</v>
      </c>
      <c r="M139" s="44">
        <v>0.29097222222222202</v>
      </c>
      <c r="N139" s="44">
        <v>0.29097222222222202</v>
      </c>
      <c r="O139" s="44">
        <v>0.29097222222222202</v>
      </c>
      <c r="P139" s="44">
        <v>0.33333333333333298</v>
      </c>
      <c r="Q139" s="43">
        <v>0.33333333333333298</v>
      </c>
      <c r="R139" s="43">
        <v>0.33333333333333298</v>
      </c>
      <c r="S139" s="44">
        <v>0.29097222222222202</v>
      </c>
      <c r="T139" s="43">
        <v>0.33333333333333298</v>
      </c>
      <c r="U139" s="44">
        <v>0.29097222222222202</v>
      </c>
      <c r="V139" s="44">
        <v>0.33333333333333298</v>
      </c>
    </row>
    <row r="140" spans="5:22" ht="18.75">
      <c r="E140" s="43"/>
      <c r="F140" s="43">
        <v>0.874305555555556</v>
      </c>
      <c r="G140" s="43">
        <v>0.79236111111111096</v>
      </c>
      <c r="H140" s="43">
        <v>0.83402777777777803</v>
      </c>
      <c r="I140" s="43">
        <v>0.83402777777777803</v>
      </c>
      <c r="J140" s="43">
        <v>0.83402777777777803</v>
      </c>
      <c r="K140" s="43">
        <v>0.83402777777777803</v>
      </c>
      <c r="L140" s="43">
        <v>0.83402777777777803</v>
      </c>
      <c r="M140" s="44">
        <v>0.83402777777777803</v>
      </c>
      <c r="N140" s="44">
        <v>0.83402777777777803</v>
      </c>
      <c r="O140" s="44">
        <v>0.83402777777777803</v>
      </c>
      <c r="P140" s="44">
        <v>0.83402777777777803</v>
      </c>
      <c r="Q140" s="43">
        <v>0.83402777777777803</v>
      </c>
      <c r="R140" s="43">
        <v>0.83402777777777803</v>
      </c>
      <c r="S140" s="44">
        <v>0.79236111111111096</v>
      </c>
      <c r="T140" s="43">
        <v>0.83402777777777803</v>
      </c>
      <c r="U140" s="44">
        <v>0.83402777777777803</v>
      </c>
      <c r="V140" s="44">
        <v>0.83402777777777803</v>
      </c>
    </row>
    <row r="141" spans="5:22" ht="18.75">
      <c r="E141" s="14"/>
      <c r="F141" s="14">
        <v>3</v>
      </c>
      <c r="G141" s="14">
        <v>2</v>
      </c>
      <c r="H141" s="14">
        <v>2</v>
      </c>
      <c r="I141" s="14">
        <v>3</v>
      </c>
      <c r="J141" s="14">
        <v>5</v>
      </c>
      <c r="K141" s="13">
        <v>2</v>
      </c>
      <c r="L141" s="13">
        <v>2</v>
      </c>
      <c r="M141" s="13">
        <v>2</v>
      </c>
      <c r="N141" s="13">
        <v>2</v>
      </c>
      <c r="O141" s="13">
        <v>3</v>
      </c>
      <c r="P141" s="13">
        <v>2</v>
      </c>
      <c r="Q141" s="13">
        <v>2</v>
      </c>
      <c r="R141" s="13">
        <v>2</v>
      </c>
      <c r="S141" s="16">
        <v>2</v>
      </c>
      <c r="T141" s="13">
        <v>2</v>
      </c>
      <c r="U141" s="13">
        <v>2</v>
      </c>
      <c r="V141" s="13">
        <v>2</v>
      </c>
    </row>
    <row r="142" spans="5:22" ht="19.5" thickBot="1">
      <c r="E142" s="14"/>
      <c r="F142" s="14" t="s">
        <v>87</v>
      </c>
      <c r="G142" s="14" t="s">
        <v>87</v>
      </c>
      <c r="H142" s="14" t="s">
        <v>87</v>
      </c>
      <c r="I142" s="14" t="s">
        <v>87</v>
      </c>
      <c r="J142" s="14" t="s">
        <v>87</v>
      </c>
      <c r="K142" s="13" t="s">
        <v>87</v>
      </c>
      <c r="L142" s="13" t="s">
        <v>87</v>
      </c>
      <c r="M142" s="13" t="s">
        <v>87</v>
      </c>
      <c r="N142" s="13" t="s">
        <v>87</v>
      </c>
      <c r="O142" s="13" t="s">
        <v>87</v>
      </c>
      <c r="P142" s="13" t="s">
        <v>87</v>
      </c>
      <c r="Q142" s="13" t="s">
        <v>87</v>
      </c>
      <c r="R142" s="13" t="s">
        <v>87</v>
      </c>
      <c r="S142" s="16" t="s">
        <v>87</v>
      </c>
      <c r="T142" s="13" t="s">
        <v>87</v>
      </c>
      <c r="U142" s="13" t="s">
        <v>87</v>
      </c>
      <c r="V142" s="13" t="s">
        <v>87</v>
      </c>
    </row>
    <row r="143" spans="5:22" ht="18.75">
      <c r="E143" s="24"/>
      <c r="F143" s="24">
        <v>5</v>
      </c>
      <c r="G143" s="24">
        <v>0</v>
      </c>
      <c r="H143" s="24">
        <v>3</v>
      </c>
      <c r="I143" s="24">
        <v>5</v>
      </c>
      <c r="J143" s="24">
        <v>0</v>
      </c>
      <c r="K143" s="25">
        <v>0</v>
      </c>
      <c r="L143" s="25">
        <v>4</v>
      </c>
      <c r="M143" s="25">
        <v>5</v>
      </c>
      <c r="N143" s="25">
        <v>5</v>
      </c>
      <c r="O143" s="25">
        <v>5</v>
      </c>
      <c r="P143" s="25">
        <v>4</v>
      </c>
      <c r="Q143" s="25">
        <v>4</v>
      </c>
      <c r="R143" s="25">
        <v>0</v>
      </c>
      <c r="S143" s="26">
        <v>7</v>
      </c>
      <c r="T143" s="25">
        <v>0</v>
      </c>
      <c r="U143" s="25">
        <v>0</v>
      </c>
      <c r="V143" s="25">
        <v>4</v>
      </c>
    </row>
    <row r="144" spans="5:22" ht="18.75">
      <c r="E144" s="14"/>
      <c r="F144" s="14">
        <v>10</v>
      </c>
      <c r="G144" s="14">
        <v>0</v>
      </c>
      <c r="H144" s="14">
        <v>10</v>
      </c>
      <c r="I144" s="14">
        <v>15</v>
      </c>
      <c r="J144" s="14">
        <v>0</v>
      </c>
      <c r="K144" s="13">
        <v>0</v>
      </c>
      <c r="L144" s="13">
        <v>0</v>
      </c>
      <c r="M144" s="13">
        <v>15</v>
      </c>
      <c r="N144" s="13">
        <v>0</v>
      </c>
      <c r="O144" s="13">
        <v>15</v>
      </c>
      <c r="P144" s="13">
        <v>0</v>
      </c>
      <c r="Q144" s="13">
        <v>0</v>
      </c>
      <c r="R144" s="13">
        <v>0</v>
      </c>
      <c r="S144" s="16">
        <v>10</v>
      </c>
      <c r="T144" s="13">
        <v>0</v>
      </c>
      <c r="U144" s="13">
        <v>20</v>
      </c>
      <c r="V144" s="13">
        <v>10</v>
      </c>
    </row>
    <row r="145" spans="5:22" ht="18.75">
      <c r="E145" s="14"/>
      <c r="F145" s="14">
        <v>0</v>
      </c>
      <c r="G145" s="14">
        <v>0</v>
      </c>
      <c r="H145" s="14">
        <v>0</v>
      </c>
      <c r="I145" s="14">
        <v>2</v>
      </c>
      <c r="J145" s="14">
        <v>0</v>
      </c>
      <c r="K145" s="13">
        <v>0</v>
      </c>
      <c r="L145" s="13">
        <v>3</v>
      </c>
      <c r="M145" s="13">
        <v>2</v>
      </c>
      <c r="N145" s="13">
        <v>5</v>
      </c>
      <c r="O145" s="13">
        <v>2</v>
      </c>
      <c r="P145" s="13">
        <v>11</v>
      </c>
      <c r="Q145" s="13">
        <v>6</v>
      </c>
      <c r="R145" s="13">
        <v>0</v>
      </c>
      <c r="S145" s="16">
        <v>4</v>
      </c>
      <c r="T145" s="13">
        <v>0</v>
      </c>
      <c r="U145" s="13">
        <v>1</v>
      </c>
      <c r="V145" s="13">
        <v>4</v>
      </c>
    </row>
    <row r="146" spans="5:22" ht="18.75">
      <c r="E146" s="14"/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6">
        <v>0</v>
      </c>
      <c r="T146" s="13">
        <v>0</v>
      </c>
      <c r="U146" s="13">
        <v>0</v>
      </c>
      <c r="V146" s="13">
        <v>0</v>
      </c>
    </row>
    <row r="147" spans="5:22" ht="19.5" thickBot="1">
      <c r="E147" s="30"/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3">
        <v>0</v>
      </c>
      <c r="T147" s="32">
        <v>0</v>
      </c>
      <c r="U147" s="32">
        <v>0</v>
      </c>
      <c r="V147" s="32">
        <v>0</v>
      </c>
    </row>
    <row r="148" spans="5:22" ht="18.75">
      <c r="E148" s="14"/>
      <c r="F148" s="14" t="s">
        <v>100</v>
      </c>
      <c r="G148" s="14" t="s">
        <v>100</v>
      </c>
      <c r="H148" s="14" t="s">
        <v>100</v>
      </c>
      <c r="I148" s="14" t="s">
        <v>100</v>
      </c>
      <c r="J148" s="14" t="s">
        <v>100</v>
      </c>
      <c r="K148" s="13" t="s">
        <v>100</v>
      </c>
      <c r="L148" s="13" t="s">
        <v>100</v>
      </c>
      <c r="M148" s="13" t="s">
        <v>100</v>
      </c>
      <c r="N148" s="13" t="s">
        <v>100</v>
      </c>
      <c r="O148" s="13" t="s">
        <v>100</v>
      </c>
      <c r="P148" s="13" t="s">
        <v>100</v>
      </c>
      <c r="Q148" s="14" t="s">
        <v>100</v>
      </c>
      <c r="R148" s="14" t="s">
        <v>100</v>
      </c>
      <c r="S148" s="16" t="s">
        <v>100</v>
      </c>
      <c r="T148" s="14" t="s">
        <v>100</v>
      </c>
      <c r="U148" s="13" t="s">
        <v>100</v>
      </c>
      <c r="V148" s="13" t="s">
        <v>100</v>
      </c>
    </row>
    <row r="149" spans="5:22" ht="18.75">
      <c r="E149" s="14"/>
      <c r="F149" s="14">
        <v>0</v>
      </c>
      <c r="G149" s="14">
        <v>0</v>
      </c>
      <c r="H149" s="14">
        <v>0</v>
      </c>
      <c r="I149" s="14">
        <v>0</v>
      </c>
      <c r="J149" s="14">
        <v>500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6">
        <v>0</v>
      </c>
      <c r="T149" s="13">
        <v>0</v>
      </c>
      <c r="U149" s="13">
        <v>0</v>
      </c>
      <c r="V149" s="13">
        <v>0</v>
      </c>
    </row>
    <row r="150" spans="5:22" ht="19.5" thickBot="1">
      <c r="E150" s="14"/>
      <c r="F150" s="14">
        <v>0</v>
      </c>
      <c r="G150" s="14">
        <v>0</v>
      </c>
      <c r="H150" s="14">
        <v>0</v>
      </c>
      <c r="I150" s="14">
        <v>0</v>
      </c>
      <c r="J150" s="14">
        <v>50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6">
        <v>0</v>
      </c>
      <c r="T150" s="13">
        <v>0</v>
      </c>
      <c r="U150" s="13">
        <v>0</v>
      </c>
      <c r="V150" s="13">
        <v>0</v>
      </c>
    </row>
    <row r="151" spans="5:22" ht="18.75">
      <c r="E151" s="24"/>
      <c r="F151" s="24">
        <v>6</v>
      </c>
      <c r="G151" s="24">
        <v>6</v>
      </c>
      <c r="H151" s="24">
        <v>6</v>
      </c>
      <c r="I151" s="24">
        <v>6</v>
      </c>
      <c r="J151" s="24">
        <v>9</v>
      </c>
      <c r="K151" s="25">
        <v>5</v>
      </c>
      <c r="L151" s="25">
        <v>6</v>
      </c>
      <c r="M151" s="25">
        <v>3</v>
      </c>
      <c r="N151" s="25">
        <v>9</v>
      </c>
      <c r="O151" s="25">
        <v>7</v>
      </c>
      <c r="P151" s="25">
        <v>9</v>
      </c>
      <c r="Q151" s="25">
        <v>5</v>
      </c>
      <c r="R151" s="25">
        <v>6</v>
      </c>
      <c r="S151" s="26">
        <v>6</v>
      </c>
      <c r="T151" s="25">
        <v>6</v>
      </c>
      <c r="U151" s="25">
        <v>6</v>
      </c>
      <c r="V151" s="25">
        <v>6</v>
      </c>
    </row>
    <row r="152" spans="5:22" ht="19.5" thickBot="1">
      <c r="E152" s="30"/>
      <c r="F152" s="30">
        <v>6</v>
      </c>
      <c r="G152" s="30">
        <v>6</v>
      </c>
      <c r="H152" s="30">
        <v>6</v>
      </c>
      <c r="I152" s="30">
        <v>6</v>
      </c>
      <c r="J152" s="30">
        <v>9</v>
      </c>
      <c r="K152" s="32">
        <v>4</v>
      </c>
      <c r="L152" s="32">
        <v>6</v>
      </c>
      <c r="M152" s="32">
        <v>3</v>
      </c>
      <c r="N152" s="32">
        <v>9</v>
      </c>
      <c r="O152" s="32">
        <v>5</v>
      </c>
      <c r="P152" s="32">
        <v>9</v>
      </c>
      <c r="Q152" s="32">
        <v>4</v>
      </c>
      <c r="R152" s="32">
        <v>5</v>
      </c>
      <c r="S152" s="33">
        <v>6</v>
      </c>
      <c r="T152" s="32">
        <v>4</v>
      </c>
      <c r="U152" s="32">
        <v>6</v>
      </c>
      <c r="V152" s="32">
        <v>6</v>
      </c>
    </row>
    <row r="153" spans="5:22" ht="18.75">
      <c r="E153" s="14"/>
      <c r="F153" s="14" t="s">
        <v>106</v>
      </c>
      <c r="G153" s="14" t="s">
        <v>106</v>
      </c>
      <c r="H153" s="14" t="s">
        <v>106</v>
      </c>
      <c r="I153" s="14" t="s">
        <v>106</v>
      </c>
      <c r="J153" s="14" t="s">
        <v>106</v>
      </c>
      <c r="K153" s="13" t="s">
        <v>106</v>
      </c>
      <c r="L153" s="13" t="s">
        <v>106</v>
      </c>
      <c r="M153" s="13" t="s">
        <v>106</v>
      </c>
      <c r="N153" s="13" t="s">
        <v>106</v>
      </c>
      <c r="O153" s="13" t="s">
        <v>106</v>
      </c>
      <c r="P153" s="13" t="s">
        <v>106</v>
      </c>
      <c r="Q153" s="13" t="s">
        <v>106</v>
      </c>
      <c r="R153" s="13" t="s">
        <v>106</v>
      </c>
      <c r="S153" s="16" t="s">
        <v>106</v>
      </c>
      <c r="T153" s="13" t="s">
        <v>106</v>
      </c>
      <c r="U153" s="13" t="s">
        <v>106</v>
      </c>
      <c r="V153" s="13" t="s">
        <v>106</v>
      </c>
    </row>
    <row r="154" spans="5:22" ht="18.75">
      <c r="E154" s="14"/>
      <c r="F154" s="14">
        <v>1000</v>
      </c>
      <c r="G154" s="14">
        <v>1000</v>
      </c>
      <c r="H154" s="14">
        <v>1000</v>
      </c>
      <c r="I154" s="14">
        <v>1000</v>
      </c>
      <c r="J154" s="14">
        <v>1000</v>
      </c>
      <c r="K154" s="13">
        <v>1000</v>
      </c>
      <c r="L154" s="13">
        <v>1000</v>
      </c>
      <c r="M154" s="13">
        <v>1000</v>
      </c>
      <c r="N154" s="13">
        <v>1000</v>
      </c>
      <c r="O154" s="13">
        <v>1000</v>
      </c>
      <c r="P154" s="13">
        <v>1000</v>
      </c>
      <c r="Q154" s="13">
        <v>1000</v>
      </c>
      <c r="R154" s="13">
        <v>1000</v>
      </c>
      <c r="S154" s="16">
        <v>1000</v>
      </c>
      <c r="T154" s="13">
        <v>1000</v>
      </c>
      <c r="U154" s="13">
        <v>1000</v>
      </c>
      <c r="V154" s="13">
        <v>1000</v>
      </c>
    </row>
    <row r="155" spans="5:22" ht="19.5" thickBot="1">
      <c r="E155" s="14"/>
      <c r="F155" s="14" t="s">
        <v>106</v>
      </c>
      <c r="G155" s="14" t="s">
        <v>106</v>
      </c>
      <c r="H155" s="14" t="s">
        <v>106</v>
      </c>
      <c r="I155" s="14" t="s">
        <v>106</v>
      </c>
      <c r="J155" s="14" t="s">
        <v>106</v>
      </c>
      <c r="K155" s="13" t="s">
        <v>106</v>
      </c>
      <c r="L155" s="13" t="s">
        <v>106</v>
      </c>
      <c r="M155" s="13" t="s">
        <v>106</v>
      </c>
      <c r="N155" s="13" t="s">
        <v>106</v>
      </c>
      <c r="O155" s="13" t="s">
        <v>106</v>
      </c>
      <c r="P155" s="13" t="s">
        <v>106</v>
      </c>
      <c r="Q155" s="13" t="s">
        <v>106</v>
      </c>
      <c r="R155" s="13" t="s">
        <v>106</v>
      </c>
      <c r="S155" s="16" t="s">
        <v>106</v>
      </c>
      <c r="T155" s="13" t="s">
        <v>106</v>
      </c>
      <c r="U155" s="13" t="s">
        <v>106</v>
      </c>
      <c r="V155" s="13" t="s">
        <v>106</v>
      </c>
    </row>
    <row r="156" spans="5:22" ht="19.5" thickBot="1">
      <c r="E156" s="53"/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4">
        <v>0</v>
      </c>
      <c r="L156" s="54">
        <v>0</v>
      </c>
      <c r="M156" s="54">
        <v>0</v>
      </c>
      <c r="N156" s="54">
        <v>0</v>
      </c>
      <c r="O156" s="54">
        <v>0</v>
      </c>
      <c r="P156" s="54">
        <v>0</v>
      </c>
      <c r="Q156" s="54">
        <v>0</v>
      </c>
      <c r="R156" s="54">
        <v>0</v>
      </c>
      <c r="S156" s="55">
        <v>0</v>
      </c>
      <c r="T156" s="54">
        <v>0</v>
      </c>
      <c r="U156" s="54">
        <v>0</v>
      </c>
      <c r="V156" s="54">
        <v>0</v>
      </c>
    </row>
    <row r="157" spans="5:22" ht="37.5">
      <c r="E157" s="58"/>
      <c r="F157" s="58" t="s">
        <v>112</v>
      </c>
      <c r="G157" s="58" t="s">
        <v>141</v>
      </c>
      <c r="H157" s="58" t="s">
        <v>113</v>
      </c>
      <c r="I157" s="58" t="s">
        <v>142</v>
      </c>
      <c r="J157" s="58" t="s">
        <v>114</v>
      </c>
      <c r="K157" s="58" t="s">
        <v>115</v>
      </c>
      <c r="L157" s="58" t="s">
        <v>116</v>
      </c>
      <c r="M157" s="58" t="s">
        <v>117</v>
      </c>
      <c r="N157" s="58" t="s">
        <v>118</v>
      </c>
      <c r="O157" s="58" t="s">
        <v>119</v>
      </c>
      <c r="P157" s="58" t="s">
        <v>120</v>
      </c>
      <c r="Q157" s="58" t="s">
        <v>121</v>
      </c>
      <c r="R157" s="58" t="s">
        <v>122</v>
      </c>
      <c r="S157" s="58" t="s">
        <v>123</v>
      </c>
      <c r="T157" s="58" t="s">
        <v>124</v>
      </c>
      <c r="U157" s="58" t="s">
        <v>125</v>
      </c>
      <c r="V157" s="58" t="s">
        <v>126</v>
      </c>
    </row>
    <row r="158" spans="5:22" ht="19.5" thickBot="1">
      <c r="E158" s="62"/>
      <c r="F158" s="62">
        <v>1</v>
      </c>
      <c r="G158" s="62">
        <v>1</v>
      </c>
      <c r="H158" s="62">
        <v>1</v>
      </c>
      <c r="I158" s="62">
        <v>1</v>
      </c>
      <c r="J158" s="62">
        <v>1</v>
      </c>
      <c r="K158" s="63">
        <v>1</v>
      </c>
      <c r="L158" s="63">
        <v>1</v>
      </c>
      <c r="M158" s="63">
        <v>1</v>
      </c>
      <c r="N158" s="63">
        <v>1</v>
      </c>
      <c r="O158" s="63">
        <v>1</v>
      </c>
      <c r="P158" s="63">
        <v>1</v>
      </c>
      <c r="Q158" s="63">
        <v>1</v>
      </c>
      <c r="R158" s="63">
        <v>1</v>
      </c>
      <c r="S158" s="33">
        <v>1</v>
      </c>
      <c r="T158" s="63">
        <v>1</v>
      </c>
      <c r="U158" s="63">
        <v>1</v>
      </c>
      <c r="V158" s="63">
        <v>1</v>
      </c>
    </row>
    <row r="159" spans="5:22" ht="19.5" thickBot="1">
      <c r="E159" s="62"/>
      <c r="F159" s="62" t="s">
        <v>100</v>
      </c>
      <c r="G159" s="62" t="s">
        <v>100</v>
      </c>
      <c r="H159" s="62" t="s">
        <v>100</v>
      </c>
      <c r="I159" s="62" t="s">
        <v>100</v>
      </c>
      <c r="J159" s="62" t="s">
        <v>100</v>
      </c>
      <c r="K159" s="63" t="s">
        <v>100</v>
      </c>
      <c r="L159" s="63" t="s">
        <v>100</v>
      </c>
      <c r="M159" s="63" t="s">
        <v>100</v>
      </c>
      <c r="N159" s="63" t="s">
        <v>100</v>
      </c>
      <c r="O159" s="63" t="s">
        <v>100</v>
      </c>
      <c r="P159" s="63" t="s">
        <v>100</v>
      </c>
      <c r="Q159" s="63" t="s">
        <v>100</v>
      </c>
      <c r="R159" s="63" t="s">
        <v>100</v>
      </c>
      <c r="S159" s="33" t="s">
        <v>100</v>
      </c>
      <c r="T159" s="63" t="s">
        <v>100</v>
      </c>
      <c r="U159" s="63" t="s">
        <v>100</v>
      </c>
      <c r="V159" s="63" t="s">
        <v>100</v>
      </c>
    </row>
    <row r="160" spans="5:22" ht="25.5">
      <c r="E160" s="67"/>
      <c r="F160" s="67">
        <v>43</v>
      </c>
      <c r="G160" s="67">
        <v>43</v>
      </c>
      <c r="H160" s="67">
        <v>43</v>
      </c>
      <c r="I160" s="67">
        <v>43</v>
      </c>
      <c r="J160" s="67">
        <v>43</v>
      </c>
      <c r="K160" s="67">
        <v>43</v>
      </c>
      <c r="L160" s="67">
        <v>43</v>
      </c>
      <c r="M160" s="67">
        <v>43</v>
      </c>
      <c r="N160" s="67">
        <v>43</v>
      </c>
      <c r="O160" s="67">
        <v>43</v>
      </c>
      <c r="P160" s="67">
        <v>43</v>
      </c>
      <c r="Q160" s="67">
        <v>43</v>
      </c>
      <c r="R160" s="67">
        <v>43</v>
      </c>
      <c r="S160" s="67">
        <v>43</v>
      </c>
      <c r="T160" s="67">
        <v>43</v>
      </c>
      <c r="U160" s="67">
        <v>43</v>
      </c>
      <c r="V160" s="67">
        <v>43</v>
      </c>
    </row>
    <row r="161" spans="5:22" ht="25.5">
      <c r="E161" s="69"/>
      <c r="F161" s="69">
        <v>36</v>
      </c>
      <c r="G161" s="69">
        <v>45</v>
      </c>
      <c r="H161" s="69">
        <v>31</v>
      </c>
      <c r="I161" s="69">
        <v>31</v>
      </c>
      <c r="J161" s="69">
        <v>39</v>
      </c>
      <c r="K161" s="69">
        <v>24</v>
      </c>
      <c r="L161" s="69">
        <v>30</v>
      </c>
      <c r="M161" s="69">
        <v>19</v>
      </c>
      <c r="N161" s="69">
        <v>35</v>
      </c>
      <c r="O161" s="69">
        <v>49</v>
      </c>
      <c r="P161" s="69">
        <v>41</v>
      </c>
      <c r="Q161" s="69">
        <v>28</v>
      </c>
      <c r="R161" s="69">
        <v>26</v>
      </c>
      <c r="S161" s="69">
        <v>32</v>
      </c>
      <c r="T161" s="69">
        <v>12</v>
      </c>
      <c r="U161" s="69">
        <v>57</v>
      </c>
      <c r="V161" s="69">
        <v>18</v>
      </c>
    </row>
    <row r="162" spans="5:22" ht="25.5">
      <c r="E162" s="70"/>
      <c r="F162" s="70">
        <v>18695</v>
      </c>
      <c r="G162" s="70">
        <v>33521</v>
      </c>
      <c r="H162" s="70">
        <v>9945</v>
      </c>
      <c r="I162" s="70">
        <v>34396</v>
      </c>
      <c r="J162" s="70">
        <v>32262</v>
      </c>
      <c r="K162" s="70">
        <v>16917</v>
      </c>
      <c r="L162" s="70">
        <v>13703</v>
      </c>
      <c r="M162" s="70">
        <v>11408</v>
      </c>
      <c r="N162" s="70">
        <v>18265</v>
      </c>
      <c r="O162" s="70">
        <v>20901</v>
      </c>
      <c r="P162" s="70">
        <v>22398</v>
      </c>
      <c r="Q162" s="70">
        <v>17574</v>
      </c>
      <c r="R162" s="70">
        <v>13499</v>
      </c>
      <c r="S162" s="70">
        <v>27211</v>
      </c>
      <c r="T162" s="70">
        <v>5305</v>
      </c>
      <c r="U162" s="70">
        <v>25083</v>
      </c>
      <c r="V162" s="70">
        <v>10206</v>
      </c>
    </row>
    <row r="163" spans="5:22" ht="18.75">
      <c r="E163" s="11"/>
      <c r="F163" s="11">
        <v>44061</v>
      </c>
      <c r="G163" s="11">
        <v>44061</v>
      </c>
      <c r="H163" s="11">
        <v>44061</v>
      </c>
      <c r="I163" s="11">
        <v>44061</v>
      </c>
      <c r="J163" s="11">
        <v>44061</v>
      </c>
      <c r="K163" s="11">
        <v>44076</v>
      </c>
      <c r="L163" s="11">
        <v>44074</v>
      </c>
      <c r="M163" s="11">
        <v>44061</v>
      </c>
      <c r="N163" s="11">
        <v>44061</v>
      </c>
      <c r="O163" s="11">
        <v>44074</v>
      </c>
      <c r="P163" s="11">
        <v>44074</v>
      </c>
      <c r="Q163" s="11">
        <v>44081</v>
      </c>
      <c r="R163" s="11">
        <v>44081</v>
      </c>
      <c r="S163" s="11">
        <v>44074</v>
      </c>
      <c r="T163" s="11">
        <v>44081</v>
      </c>
      <c r="U163" s="11">
        <v>44074</v>
      </c>
      <c r="V163" s="11">
        <v>44074</v>
      </c>
    </row>
    <row r="164" spans="5:22"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</row>
    <row r="165" spans="5:22" ht="26.25" thickBot="1">
      <c r="E165" s="70"/>
      <c r="F165" s="70">
        <f t="shared" ref="F165" si="11">+F162/F161</f>
        <v>519.30555555555554</v>
      </c>
      <c r="G165" s="70">
        <f t="shared" ref="G165:V165" si="12">+G162/G161</f>
        <v>744.91111111111115</v>
      </c>
      <c r="H165" s="70">
        <f t="shared" si="12"/>
        <v>320.80645161290323</v>
      </c>
      <c r="I165" s="70">
        <f t="shared" si="12"/>
        <v>1109.5483870967741</v>
      </c>
      <c r="J165" s="70">
        <f t="shared" si="12"/>
        <v>827.23076923076928</v>
      </c>
      <c r="K165" s="70">
        <f t="shared" si="12"/>
        <v>704.875</v>
      </c>
      <c r="L165" s="70">
        <f t="shared" si="12"/>
        <v>456.76666666666665</v>
      </c>
      <c r="M165" s="70">
        <f t="shared" si="12"/>
        <v>600.42105263157896</v>
      </c>
      <c r="N165" s="70">
        <f t="shared" si="12"/>
        <v>521.85714285714289</v>
      </c>
      <c r="O165" s="70">
        <f t="shared" si="12"/>
        <v>426.55102040816325</v>
      </c>
      <c r="P165" s="70">
        <f t="shared" si="12"/>
        <v>546.29268292682923</v>
      </c>
      <c r="Q165" s="70">
        <f t="shared" si="12"/>
        <v>627.64285714285711</v>
      </c>
      <c r="R165" s="70">
        <f t="shared" si="12"/>
        <v>519.19230769230774</v>
      </c>
      <c r="S165" s="70">
        <f t="shared" si="12"/>
        <v>850.34375</v>
      </c>
      <c r="T165" s="70">
        <f t="shared" si="12"/>
        <v>442.08333333333331</v>
      </c>
      <c r="U165" s="70">
        <f t="shared" si="12"/>
        <v>440.05263157894734</v>
      </c>
      <c r="V165" s="70">
        <f t="shared" si="12"/>
        <v>567</v>
      </c>
    </row>
    <row r="166" spans="5:22" ht="70.5" thickBot="1">
      <c r="E166" s="76"/>
      <c r="F166" s="76" t="str">
        <f t="shared" ref="F166" si="13">+F117</f>
        <v>A02_2002</v>
      </c>
      <c r="G166" s="9" t="str">
        <f t="shared" ref="G166:V166" si="14">+G117</f>
        <v>A01_2001</v>
      </c>
      <c r="H166" s="9" t="str">
        <f t="shared" si="14"/>
        <v>A04_2001</v>
      </c>
      <c r="I166" s="9" t="str">
        <f t="shared" si="14"/>
        <v>A06_2000</v>
      </c>
      <c r="J166" s="9" t="str">
        <f t="shared" si="14"/>
        <v>C03_2002</v>
      </c>
      <c r="K166" s="9" t="str">
        <f t="shared" si="14"/>
        <v>E01_3003</v>
      </c>
      <c r="L166" s="9" t="str">
        <f t="shared" si="14"/>
        <v>E03_2001</v>
      </c>
      <c r="M166" s="9" t="str">
        <f t="shared" si="14"/>
        <v>EUR GBP 4H_210</v>
      </c>
      <c r="N166" s="9" t="str">
        <f t="shared" si="14"/>
        <v>EUR JPY 4H_210</v>
      </c>
      <c r="O166" s="9" t="str">
        <f t="shared" si="14"/>
        <v>EUR USD 4H_210</v>
      </c>
      <c r="P166" s="9" t="str">
        <f t="shared" si="14"/>
        <v>GBP AUD 4H_202§</v>
      </c>
      <c r="Q166" s="9" t="str">
        <f t="shared" si="14"/>
        <v>G02_2002</v>
      </c>
      <c r="R166" s="9" t="str">
        <f t="shared" si="14"/>
        <v>G03_2001</v>
      </c>
      <c r="S166" s="9" t="str">
        <f t="shared" si="14"/>
        <v>GBP JPY 4H_213</v>
      </c>
      <c r="T166" s="9" t="str">
        <f t="shared" si="14"/>
        <v>G05_2002</v>
      </c>
      <c r="U166" s="9" t="str">
        <f t="shared" si="14"/>
        <v>USD CAD 4H_210</v>
      </c>
      <c r="V166" s="9" t="str">
        <f t="shared" si="14"/>
        <v>USD JPY 4H_211</v>
      </c>
    </row>
    <row r="167" spans="5:22" ht="24" thickBot="1">
      <c r="E167" s="77"/>
      <c r="F167" s="77">
        <v>1</v>
      </c>
      <c r="G167" s="77">
        <f>+C167+1</f>
        <v>1</v>
      </c>
      <c r="H167" s="77">
        <f t="shared" ref="H167:V167" si="15">+G167+1</f>
        <v>2</v>
      </c>
      <c r="I167" s="77">
        <f t="shared" si="15"/>
        <v>3</v>
      </c>
      <c r="J167" s="77">
        <f t="shared" si="15"/>
        <v>4</v>
      </c>
      <c r="K167" s="77">
        <f t="shared" si="15"/>
        <v>5</v>
      </c>
      <c r="L167" s="77">
        <f t="shared" si="15"/>
        <v>6</v>
      </c>
      <c r="M167" s="77">
        <f t="shared" si="15"/>
        <v>7</v>
      </c>
      <c r="N167" s="77">
        <f t="shared" si="15"/>
        <v>8</v>
      </c>
      <c r="O167" s="77">
        <f t="shared" si="15"/>
        <v>9</v>
      </c>
      <c r="P167" s="77">
        <f t="shared" si="15"/>
        <v>10</v>
      </c>
      <c r="Q167" s="77">
        <f t="shared" si="15"/>
        <v>11</v>
      </c>
      <c r="R167" s="77">
        <f t="shared" si="15"/>
        <v>12</v>
      </c>
      <c r="S167" s="77">
        <f t="shared" si="15"/>
        <v>13</v>
      </c>
      <c r="T167" s="77">
        <f t="shared" si="15"/>
        <v>14</v>
      </c>
      <c r="U167" s="77">
        <f t="shared" si="15"/>
        <v>15</v>
      </c>
      <c r="V167" s="77">
        <f t="shared" si="15"/>
        <v>16</v>
      </c>
    </row>
  </sheetData>
  <printOptions horizontalCentered="1"/>
  <pageMargins left="0.211805555555556" right="0.265972222222222" top="0.53611111111111098" bottom="0.42708333333333298" header="0.51180555555555496" footer="0.51180555555555496"/>
  <pageSetup paperSize="9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3"/>
  <sheetViews>
    <sheetView zoomScale="50" zoomScaleNormal="50" workbookViewId="0">
      <selection activeCell="B4" activeCellId="1" sqref="C2:C44 B4"/>
    </sheetView>
  </sheetViews>
  <sheetFormatPr defaultColWidth="8.85546875" defaultRowHeight="15"/>
  <sheetData>
    <row r="2" spans="2:2">
      <c r="B2" s="78" t="s">
        <v>143</v>
      </c>
    </row>
    <row r="3" spans="2:2">
      <c r="B3" s="78" t="s">
        <v>144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4"/>
  <sheetViews>
    <sheetView zoomScale="50" zoomScaleNormal="50" workbookViewId="0">
      <selection activeCell="B5" activeCellId="1" sqref="C2:C44 B5"/>
    </sheetView>
  </sheetViews>
  <sheetFormatPr defaultColWidth="8.85546875" defaultRowHeight="15"/>
  <sheetData>
    <row r="2" spans="2:2">
      <c r="B2" s="78" t="s">
        <v>87</v>
      </c>
    </row>
    <row r="3" spans="2:2">
      <c r="B3" s="78" t="s">
        <v>145</v>
      </c>
    </row>
    <row r="4" spans="2:2">
      <c r="B4" s="78" t="s">
        <v>146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76"/>
  <sheetViews>
    <sheetView zoomScale="50" zoomScaleNormal="50" workbookViewId="0">
      <selection activeCell="E11" activeCellId="1" sqref="C2:C44 E11"/>
    </sheetView>
  </sheetViews>
  <sheetFormatPr defaultColWidth="8.85546875" defaultRowHeight="15"/>
  <sheetData>
    <row r="2" spans="2:4">
      <c r="B2" s="78" t="s">
        <v>138</v>
      </c>
      <c r="D2" s="78" t="s">
        <v>43</v>
      </c>
    </row>
    <row r="3" spans="2:4">
      <c r="B3" s="78" t="s">
        <v>165</v>
      </c>
      <c r="D3" s="78" t="s">
        <v>44</v>
      </c>
    </row>
    <row r="4" spans="2:4">
      <c r="B4" s="78" t="s">
        <v>166</v>
      </c>
      <c r="D4" s="78" t="s">
        <v>45</v>
      </c>
    </row>
    <row r="5" spans="2:4">
      <c r="B5" s="78" t="s">
        <v>139</v>
      </c>
      <c r="D5" s="78" t="s">
        <v>46</v>
      </c>
    </row>
    <row r="6" spans="2:4">
      <c r="B6" s="78" t="s">
        <v>167</v>
      </c>
      <c r="D6" s="78" t="s">
        <v>47</v>
      </c>
    </row>
    <row r="7" spans="2:4">
      <c r="B7" s="78" t="s">
        <v>140</v>
      </c>
      <c r="D7" s="78" t="s">
        <v>50</v>
      </c>
    </row>
    <row r="8" spans="2:4">
      <c r="B8" s="78" t="s">
        <v>168</v>
      </c>
      <c r="D8" s="78" t="s">
        <v>169</v>
      </c>
    </row>
    <row r="9" spans="2:4">
      <c r="B9" s="78" t="s">
        <v>170</v>
      </c>
      <c r="D9" s="78" t="s">
        <v>171</v>
      </c>
    </row>
    <row r="10" spans="2:4">
      <c r="B10" s="78" t="s">
        <v>37</v>
      </c>
      <c r="D10" s="78" t="s">
        <v>172</v>
      </c>
    </row>
    <row r="11" spans="2:4">
      <c r="B11" s="78" t="s">
        <v>173</v>
      </c>
      <c r="D11" s="78" t="s">
        <v>51</v>
      </c>
    </row>
    <row r="12" spans="2:4">
      <c r="B12" s="78" t="s">
        <v>174</v>
      </c>
      <c r="D12" s="78" t="s">
        <v>175</v>
      </c>
    </row>
    <row r="13" spans="2:4">
      <c r="B13" s="78" t="s">
        <v>176</v>
      </c>
      <c r="D13" s="78" t="s">
        <v>177</v>
      </c>
    </row>
    <row r="14" spans="2:4">
      <c r="B14" s="78" t="s">
        <v>38</v>
      </c>
      <c r="D14" s="78" t="s">
        <v>178</v>
      </c>
    </row>
    <row r="15" spans="2:4">
      <c r="B15" s="78" t="s">
        <v>179</v>
      </c>
      <c r="D15" s="78" t="s">
        <v>52</v>
      </c>
    </row>
    <row r="16" spans="2:4">
      <c r="B16" s="78" t="s">
        <v>39</v>
      </c>
      <c r="D16" s="78" t="s">
        <v>180</v>
      </c>
    </row>
    <row r="17" spans="2:4">
      <c r="B17" s="78" t="s">
        <v>181</v>
      </c>
      <c r="D17" s="78" t="s">
        <v>182</v>
      </c>
    </row>
    <row r="18" spans="2:4">
      <c r="B18" s="78" t="s">
        <v>183</v>
      </c>
      <c r="D18" s="78" t="s">
        <v>48</v>
      </c>
    </row>
    <row r="19" spans="2:4">
      <c r="B19" s="78" t="s">
        <v>184</v>
      </c>
      <c r="D19" s="78" t="s">
        <v>53</v>
      </c>
    </row>
    <row r="20" spans="2:4">
      <c r="B20" s="78" t="s">
        <v>40</v>
      </c>
      <c r="D20" s="78" t="s">
        <v>185</v>
      </c>
    </row>
    <row r="21" spans="2:4">
      <c r="B21" s="78" t="s">
        <v>186</v>
      </c>
      <c r="D21" s="78" t="s">
        <v>187</v>
      </c>
    </row>
    <row r="22" spans="2:4">
      <c r="B22" s="78" t="s">
        <v>188</v>
      </c>
      <c r="D22" s="78" t="s">
        <v>189</v>
      </c>
    </row>
    <row r="23" spans="2:4">
      <c r="B23" s="78" t="s">
        <v>41</v>
      </c>
      <c r="D23" s="78" t="s">
        <v>190</v>
      </c>
    </row>
    <row r="24" spans="2:4">
      <c r="B24" s="78" t="s">
        <v>191</v>
      </c>
      <c r="D24" s="78" t="s">
        <v>192</v>
      </c>
    </row>
    <row r="25" spans="2:4">
      <c r="B25" s="78" t="s">
        <v>193</v>
      </c>
      <c r="D25" s="78" t="s">
        <v>194</v>
      </c>
    </row>
    <row r="26" spans="2:4">
      <c r="B26" s="78" t="s">
        <v>195</v>
      </c>
      <c r="D26" s="78" t="s">
        <v>49</v>
      </c>
    </row>
    <row r="27" spans="2:4">
      <c r="B27" s="78" t="s">
        <v>196</v>
      </c>
      <c r="D27" s="78" t="s">
        <v>197</v>
      </c>
    </row>
    <row r="28" spans="2:4">
      <c r="B28" s="78" t="s">
        <v>198</v>
      </c>
      <c r="D28" s="78" t="s">
        <v>199</v>
      </c>
    </row>
    <row r="29" spans="2:4">
      <c r="B29" s="78" t="s">
        <v>200</v>
      </c>
      <c r="D29" s="78" t="s">
        <v>201</v>
      </c>
    </row>
    <row r="30" spans="2:4">
      <c r="B30" s="78" t="s">
        <v>202</v>
      </c>
      <c r="D30" s="78" t="s">
        <v>203</v>
      </c>
    </row>
    <row r="31" spans="2:4">
      <c r="B31" s="78" t="s">
        <v>204</v>
      </c>
      <c r="D31" s="78" t="s">
        <v>205</v>
      </c>
    </row>
    <row r="32" spans="2:4">
      <c r="B32" s="78" t="s">
        <v>206</v>
      </c>
      <c r="D32" s="78" t="s">
        <v>207</v>
      </c>
    </row>
    <row r="33" spans="2:4">
      <c r="B33" s="78" t="s">
        <v>42</v>
      </c>
      <c r="D33" s="78" t="s">
        <v>208</v>
      </c>
    </row>
    <row r="34" spans="2:4">
      <c r="B34" s="78" t="s">
        <v>209</v>
      </c>
      <c r="D34" s="78" t="s">
        <v>210</v>
      </c>
    </row>
    <row r="36" spans="2:4">
      <c r="B36" s="78" t="s">
        <v>43</v>
      </c>
      <c r="D36" s="78" t="s">
        <v>211</v>
      </c>
    </row>
    <row r="37" spans="2:4">
      <c r="B37" s="78" t="s">
        <v>44</v>
      </c>
      <c r="D37" s="78" t="s">
        <v>212</v>
      </c>
    </row>
    <row r="38" spans="2:4">
      <c r="B38" s="78" t="s">
        <v>45</v>
      </c>
      <c r="D38" s="78" t="s">
        <v>213</v>
      </c>
    </row>
    <row r="39" spans="2:4">
      <c r="B39" s="78" t="s">
        <v>46</v>
      </c>
      <c r="D39" s="78" t="s">
        <v>214</v>
      </c>
    </row>
    <row r="40" spans="2:4">
      <c r="B40" s="78" t="s">
        <v>47</v>
      </c>
      <c r="D40" s="78" t="s">
        <v>215</v>
      </c>
    </row>
    <row r="41" spans="2:4">
      <c r="B41" s="78" t="s">
        <v>50</v>
      </c>
      <c r="D41" s="78" t="s">
        <v>216</v>
      </c>
    </row>
    <row r="42" spans="2:4">
      <c r="B42" s="78" t="s">
        <v>169</v>
      </c>
      <c r="D42" s="78" t="s">
        <v>217</v>
      </c>
    </row>
    <row r="43" spans="2:4">
      <c r="B43" s="78" t="s">
        <v>171</v>
      </c>
      <c r="D43" s="78" t="s">
        <v>218</v>
      </c>
    </row>
    <row r="44" spans="2:4">
      <c r="B44" s="78" t="s">
        <v>172</v>
      </c>
    </row>
    <row r="45" spans="2:4">
      <c r="B45" s="78" t="s">
        <v>51</v>
      </c>
    </row>
    <row r="46" spans="2:4">
      <c r="B46" s="78" t="s">
        <v>175</v>
      </c>
    </row>
    <row r="47" spans="2:4">
      <c r="B47" s="78" t="s">
        <v>177</v>
      </c>
    </row>
    <row r="48" spans="2:4">
      <c r="B48" s="78" t="s">
        <v>178</v>
      </c>
    </row>
    <row r="49" spans="2:2">
      <c r="B49" s="78" t="s">
        <v>52</v>
      </c>
    </row>
    <row r="50" spans="2:2">
      <c r="B50" s="78" t="s">
        <v>180</v>
      </c>
    </row>
    <row r="51" spans="2:2">
      <c r="B51" s="78" t="s">
        <v>182</v>
      </c>
    </row>
    <row r="52" spans="2:2">
      <c r="B52" s="78" t="s">
        <v>48</v>
      </c>
    </row>
    <row r="53" spans="2:2">
      <c r="B53" s="78" t="s">
        <v>53</v>
      </c>
    </row>
    <row r="54" spans="2:2">
      <c r="B54" s="78" t="s">
        <v>185</v>
      </c>
    </row>
    <row r="55" spans="2:2">
      <c r="B55" s="78" t="s">
        <v>187</v>
      </c>
    </row>
    <row r="56" spans="2:2">
      <c r="B56" s="78" t="s">
        <v>189</v>
      </c>
    </row>
    <row r="57" spans="2:2">
      <c r="B57" s="78" t="s">
        <v>190</v>
      </c>
    </row>
    <row r="58" spans="2:2">
      <c r="B58" s="78" t="s">
        <v>192</v>
      </c>
    </row>
    <row r="59" spans="2:2">
      <c r="B59" s="78" t="s">
        <v>194</v>
      </c>
    </row>
    <row r="60" spans="2:2">
      <c r="B60" s="78" t="s">
        <v>49</v>
      </c>
    </row>
    <row r="61" spans="2:2">
      <c r="B61" s="78" t="s">
        <v>197</v>
      </c>
    </row>
    <row r="62" spans="2:2">
      <c r="B62" s="78" t="s">
        <v>199</v>
      </c>
    </row>
    <row r="63" spans="2:2">
      <c r="B63" s="78" t="s">
        <v>201</v>
      </c>
    </row>
    <row r="64" spans="2:2">
      <c r="B64" s="78" t="s">
        <v>203</v>
      </c>
    </row>
    <row r="65" spans="2:2">
      <c r="B65" s="78" t="s">
        <v>205</v>
      </c>
    </row>
    <row r="66" spans="2:2">
      <c r="B66" s="78" t="s">
        <v>207</v>
      </c>
    </row>
    <row r="67" spans="2:2">
      <c r="B67" s="78" t="s">
        <v>208</v>
      </c>
    </row>
    <row r="68" spans="2:2">
      <c r="B68" s="78" t="s">
        <v>210</v>
      </c>
    </row>
    <row r="69" spans="2:2">
      <c r="B69" s="78" t="s">
        <v>211</v>
      </c>
    </row>
    <row r="70" spans="2:2">
      <c r="B70" s="78" t="s">
        <v>212</v>
      </c>
    </row>
    <row r="71" spans="2:2">
      <c r="B71" s="78" t="s">
        <v>213</v>
      </c>
    </row>
    <row r="72" spans="2:2">
      <c r="B72" s="78" t="s">
        <v>214</v>
      </c>
    </row>
    <row r="73" spans="2:2">
      <c r="B73" s="78" t="s">
        <v>215</v>
      </c>
    </row>
    <row r="74" spans="2:2">
      <c r="B74" s="78" t="s">
        <v>216</v>
      </c>
    </row>
    <row r="75" spans="2:2">
      <c r="B75" s="78" t="s">
        <v>217</v>
      </c>
    </row>
    <row r="76" spans="2:2">
      <c r="B76" s="78" t="s">
        <v>218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22"/>
  <sheetViews>
    <sheetView zoomScale="115" zoomScaleNormal="115" workbookViewId="0">
      <selection activeCell="B19" sqref="B19"/>
    </sheetView>
  </sheetViews>
  <sheetFormatPr defaultColWidth="8.85546875" defaultRowHeight="15"/>
  <sheetData>
    <row r="2" spans="2:2">
      <c r="B2" s="78" t="s">
        <v>147</v>
      </c>
    </row>
    <row r="3" spans="2:2">
      <c r="B3" s="78" t="s">
        <v>148</v>
      </c>
    </row>
    <row r="4" spans="2:2">
      <c r="B4" s="78" t="s">
        <v>149</v>
      </c>
    </row>
    <row r="5" spans="2:2">
      <c r="B5" s="78" t="s">
        <v>150</v>
      </c>
    </row>
    <row r="6" spans="2:2">
      <c r="B6" s="78" t="s">
        <v>151</v>
      </c>
    </row>
    <row r="7" spans="2:2">
      <c r="B7" s="78" t="s">
        <v>152</v>
      </c>
    </row>
    <row r="8" spans="2:2">
      <c r="B8" s="78" t="s">
        <v>153</v>
      </c>
    </row>
    <row r="9" spans="2:2">
      <c r="B9" s="78" t="s">
        <v>154</v>
      </c>
    </row>
    <row r="10" spans="2:2">
      <c r="B10" s="78" t="s">
        <v>155</v>
      </c>
    </row>
    <row r="11" spans="2:2">
      <c r="B11" s="78" t="s">
        <v>156</v>
      </c>
    </row>
    <row r="12" spans="2:2">
      <c r="B12" s="78" t="s">
        <v>157</v>
      </c>
    </row>
    <row r="13" spans="2:2">
      <c r="B13" s="78" t="s">
        <v>61</v>
      </c>
    </row>
    <row r="14" spans="2:2">
      <c r="B14" s="78" t="s">
        <v>158</v>
      </c>
    </row>
    <row r="15" spans="2:2">
      <c r="B15" s="78" t="s">
        <v>159</v>
      </c>
    </row>
    <row r="16" spans="2:2">
      <c r="B16" s="78" t="s">
        <v>57</v>
      </c>
    </row>
    <row r="17" spans="2:2">
      <c r="B17" s="78" t="s">
        <v>160</v>
      </c>
    </row>
    <row r="18" spans="2:2">
      <c r="B18" s="78" t="s">
        <v>161</v>
      </c>
    </row>
    <row r="19" spans="2:2">
      <c r="B19" s="78" t="s">
        <v>35</v>
      </c>
    </row>
    <row r="20" spans="2:2">
      <c r="B20" s="78" t="s">
        <v>162</v>
      </c>
    </row>
    <row r="21" spans="2:2">
      <c r="B21" s="78" t="s">
        <v>163</v>
      </c>
    </row>
    <row r="22" spans="2:2">
      <c r="B22" s="78" t="s">
        <v>164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60251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</vt:i4>
      </vt:variant>
    </vt:vector>
  </HeadingPairs>
  <TitlesOfParts>
    <vt:vector size="7" baseType="lpstr">
      <vt:lpstr>Foglio1</vt:lpstr>
      <vt:lpstr>MASTER</vt:lpstr>
      <vt:lpstr>Boolean</vt:lpstr>
      <vt:lpstr>StategyType</vt:lpstr>
      <vt:lpstr>Istruments</vt:lpstr>
      <vt:lpstr>Period</vt:lpstr>
      <vt:lpstr>MASTER!Area_stampa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Francesco Rubert</dc:creator>
  <dc:description/>
  <cp:lastModifiedBy>Francesco Rubert</cp:lastModifiedBy>
  <cp:revision>500</cp:revision>
  <cp:lastPrinted>2020-09-20T22:52:21Z</cp:lastPrinted>
  <dcterms:created xsi:type="dcterms:W3CDTF">2019-09-09T19:50:27Z</dcterms:created>
  <dcterms:modified xsi:type="dcterms:W3CDTF">2020-12-07T05:53:34Z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